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25fdd09ef5bdf39/Cadeiras/LEI ^0 LTIC - Laboratorio de PROJETO/2025-2026/Candidaturas/"/>
    </mc:Choice>
  </mc:AlternateContent>
  <xr:revisionPtr revIDLastSave="213" documentId="11_AD4DF034E34935FBC521DC4D5F5A56845ADEDD90" xr6:coauthVersionLast="47" xr6:coauthVersionMax="47" xr10:uidLastSave="{B6B8F3C5-304B-4811-8940-E7F819E2EE93}"/>
  <bookViews>
    <workbookView xWindow="-120" yWindow="-120" windowWidth="38640" windowHeight="21120" xr2:uid="{00000000-000D-0000-FFFF-FFFF00000000}"/>
  </bookViews>
  <sheets>
    <sheet name="Candidatura" sheetId="1" r:id="rId1"/>
    <sheet name="Extração" sheetId="2" r:id="rId2"/>
    <sheet name="Aluno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C6" i="2"/>
  <c r="C5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D2" i="2"/>
  <c r="B2" i="2"/>
  <c r="A2" i="2"/>
  <c r="L9" i="1"/>
  <c r="D6" i="1"/>
  <c r="D5" i="1"/>
</calcChain>
</file>

<file path=xl/sharedStrings.xml><?xml version="1.0" encoding="utf-8"?>
<sst xmlns="http://schemas.openxmlformats.org/spreadsheetml/2006/main" count="266" uniqueCount="265">
  <si>
    <t>Licenciatura em Engenharia Informática</t>
  </si>
  <si>
    <t>Alunos constituintes do grupo de candidatura (mín.: 1; máx.: 2):</t>
  </si>
  <si>
    <t>Número aluno 1</t>
  </si>
  <si>
    <t>Número aluno 2</t>
  </si>
  <si>
    <t>Número mínimo</t>
  </si>
  <si>
    <t>Título</t>
  </si>
  <si>
    <t>de opções a indicar</t>
  </si>
  <si>
    <t>Orientador(es)</t>
  </si>
  <si>
    <t>Código</t>
  </si>
  <si>
    <t>Proposta de Projeto</t>
  </si>
  <si>
    <t>Definição e desenvolvimento de elementos de jogos para contextos de e-learning com inteligência artificial generativa</t>
  </si>
  <si>
    <t>Visualização Interativa de Minerais, Rochas e Fósseis para o Museu de Geologia Fernando Real</t>
  </si>
  <si>
    <t>Número</t>
  </si>
  <si>
    <t>Alternativo</t>
  </si>
  <si>
    <t>Tema</t>
  </si>
  <si>
    <t>Orientadores</t>
  </si>
  <si>
    <t>ALEXANDRE JOSÉ MARTINS MIGUEL</t>
  </si>
  <si>
    <t>ANA CAROLINA FERREIRA CAVALEIRO</t>
  </si>
  <si>
    <t>ANDRÉ FILIPE ALVES SOUSA</t>
  </si>
  <si>
    <t>BERNARDO DOMINGUES GONÇALVES</t>
  </si>
  <si>
    <t>DAVID CASTRO SILVA</t>
  </si>
  <si>
    <t>DIOGO RIBEIRO PEIXOTO</t>
  </si>
  <si>
    <t>GONÇALO PEREIRA PINTO</t>
  </si>
  <si>
    <t>JOÃO PAREDES LIMA GONÇALVES</t>
  </si>
  <si>
    <t>JOSÉ FRANCISCO CANELAS RIBEIRO CARDOSO</t>
  </si>
  <si>
    <t>NUNO GUILHERME PINTO AMERICANO</t>
  </si>
  <si>
    <t>PEDRO MANUEL SOUSA FERREIRA</t>
  </si>
  <si>
    <t>RICARDO MIGUEL ANDRADE LARANJINHA</t>
  </si>
  <si>
    <t>SÉRGIO DIOGO TEIXEIRA SERRA</t>
  </si>
  <si>
    <t>SÉRGIO MIGUEL PEREIRA MONIZ</t>
  </si>
  <si>
    <t>TIAGO ANDRE RODRIGUES BARRADAS</t>
  </si>
  <si>
    <t>VÍTOR FERNANDO MAGALHÃES GONÇALVES</t>
  </si>
  <si>
    <t>Ordem de Preferência (1..N)</t>
  </si>
  <si>
    <t>Laboratório de Projeto em Engenharia Informática – 2025-2026</t>
  </si>
  <si>
    <t>ADRIANO VILARINHO RIBEIRO</t>
  </si>
  <si>
    <t>AFONSO LUÍS PEREIRA DA SILVA</t>
  </si>
  <si>
    <t>AFONSO MIGUEL TEIXEIRA GONÇALVES</t>
  </si>
  <si>
    <t>AFONSO RIBEIRO FREITAS PINTO</t>
  </si>
  <si>
    <t>ALEXANDRE LUÍS RIBEIRO PEREIRA</t>
  </si>
  <si>
    <t>ALEXANDRE MATOS DA SILVA</t>
  </si>
  <si>
    <t>ALEXANDRE PAIVA PEREIRA</t>
  </si>
  <si>
    <t>AMÉRICO JOSÉ LOUREIRO DE SOUSA</t>
  </si>
  <si>
    <t>ANA LEONOR ATAIDE PEDROSO SOARES</t>
  </si>
  <si>
    <t>ANDRÉ FILIPE DUARTE MARQUES</t>
  </si>
  <si>
    <t>ANDRÉ MIGUEL TAVARES E SILVA</t>
  </si>
  <si>
    <t>ANTÓNIO FERREIRA SILVA NASCIMENTO</t>
  </si>
  <si>
    <t>ANTÓNIO ISMAEL PEREIRA CERVEIRA SANTOS</t>
  </si>
  <si>
    <t>ARTHUR LOPES LEITE</t>
  </si>
  <si>
    <t>BEATRIZ GUEDES CASTELO</t>
  </si>
  <si>
    <t>BEATRIZ SERRA ANTUNES</t>
  </si>
  <si>
    <t>BRUNO FILIPE TORRES VALE</t>
  </si>
  <si>
    <t>BRUNO RAFAEL BARROS ALVES</t>
  </si>
  <si>
    <t>BRUNO RAFAEL DE ALMEIDA SOUSA</t>
  </si>
  <si>
    <t>BRUNO RODRIGUES PIRES</t>
  </si>
  <si>
    <t>CARLOTA ANDREIA SILVA MARTINS</t>
  </si>
  <si>
    <t>CHELTON HUMBERTO MANDLATE</t>
  </si>
  <si>
    <t>DANIEL BEITO LIMA</t>
  </si>
  <si>
    <t>DANIEL LOPES PEREIRA</t>
  </si>
  <si>
    <t>DANIEL MIRANDA PINHÃO</t>
  </si>
  <si>
    <t>DANIEL PINTO MAGALHÃES</t>
  </si>
  <si>
    <t>DANIEL RIBEIRO CORREIA DE BARROS</t>
  </si>
  <si>
    <t>Diego Lucas Lorca</t>
  </si>
  <si>
    <t>DINIS MENDES DE ALMEIDA</t>
  </si>
  <si>
    <t>DIOGO DOS SANTOS PINHEL</t>
  </si>
  <si>
    <t>DIOGO FILIPE ALVES QUEIROZ</t>
  </si>
  <si>
    <t>DIOGO FILIPE OLIVEIRA GOMES</t>
  </si>
  <si>
    <t>DIOGO HENRIQUE FREITAS MACEDO</t>
  </si>
  <si>
    <t>DIOGO MIGUEL FERNANDES ARAÚJO</t>
  </si>
  <si>
    <t>DIOGO MOREIRA</t>
  </si>
  <si>
    <t>DIOGO SANTOS LEÃO</t>
  </si>
  <si>
    <t>DIOGO VALÉRIO BORGES</t>
  </si>
  <si>
    <t>EDUARDO LEITE GONÇALVES</t>
  </si>
  <si>
    <t>EDUARDO SOUSA E SILVA</t>
  </si>
  <si>
    <t>FILIPE DOS SANTOS E QUEIRÓS MEDEIROS</t>
  </si>
  <si>
    <t>FILIPE NAZÁRIO RODRIGUES SILVA</t>
  </si>
  <si>
    <t>FILIPE PINTO DOS SANTOS</t>
  </si>
  <si>
    <t>FRANCISCO CUSTÓDIO PINTO</t>
  </si>
  <si>
    <t>FRANCISCO LAPA OLIVEIRA COELHO</t>
  </si>
  <si>
    <t>FRANCISCO MOREIRA MARTINS</t>
  </si>
  <si>
    <t>FRANCISCO RAFAEL BARROS MONTEIRO</t>
  </si>
  <si>
    <t>FRANCISCO RAFAEL PIRES VEIGA</t>
  </si>
  <si>
    <t>FRANCISCO SANTOS BARREIRA</t>
  </si>
  <si>
    <t>FRANCISCO SILVEIRA RODRIGUES</t>
  </si>
  <si>
    <t>GABRIEL AIRES MENDES</t>
  </si>
  <si>
    <t>GABRIEL DIAS DE CASTRO</t>
  </si>
  <si>
    <t>GONÇALO ALVES DE ANDRADE</t>
  </si>
  <si>
    <t>GONÇALO ANTÓNIO DIAS E SILVA</t>
  </si>
  <si>
    <t>GONÇALO CARLOS FARIA FERNANDES</t>
  </si>
  <si>
    <t>GONÇALO CARNEIRO CRUZ</t>
  </si>
  <si>
    <t>GONÇALO DE SOUSA VILARINHO</t>
  </si>
  <si>
    <t>GONÇALO DINIS MIRANDA SOARES</t>
  </si>
  <si>
    <t>GUILHERME AUGUSTO DE MIRANDA E REBELO DA SILVA</t>
  </si>
  <si>
    <t>GUSTAVO SORO COSTA</t>
  </si>
  <si>
    <t>HENRIQUE DE SOUSA MONTEIRO</t>
  </si>
  <si>
    <t>HUGO ALEXANDRE PEIXOTO COSTA</t>
  </si>
  <si>
    <t>HUGO MIGUEL PEIXOTO DE ALMEIDA</t>
  </si>
  <si>
    <t>HUGO MIGUEL TAVARES</t>
  </si>
  <si>
    <t>HUGO NOVAIS MARTINS</t>
  </si>
  <si>
    <t>JAIME DA COSTA GOUVEIA</t>
  </si>
  <si>
    <t>JOÃO DINIS PIMENTEL</t>
  </si>
  <si>
    <t>JOÃO FERNANDO LEMOS LOPES</t>
  </si>
  <si>
    <t>JOÃO FRANCISCO VAZ PIRES</t>
  </si>
  <si>
    <t>JOÃO MANUEL CAETANO CARDOSO</t>
  </si>
  <si>
    <t>JOÃO PEDRO DA SILVA LIMA</t>
  </si>
  <si>
    <t>JOÃO PEDRO FRAGA GONÇALVES</t>
  </si>
  <si>
    <t>JOÃO PEDRO GOMES GUEDES</t>
  </si>
  <si>
    <t>JOÃO PEDRO MENDONÇA NEVES</t>
  </si>
  <si>
    <t>JOÃO PEDRO PEREIRA NOGUEIRA</t>
  </si>
  <si>
    <t>JOÃO PEDRO SOUSA FONSECA</t>
  </si>
  <si>
    <t>JORGE DANIEL SAMPAIO MELO TEIXEIRA</t>
  </si>
  <si>
    <t>Jorge Galan Lucas</t>
  </si>
  <si>
    <t>JOSÉ ALEXANDRE CARVALHO PIÃO</t>
  </si>
  <si>
    <t>Jose Antonio Balboa Lechuga</t>
  </si>
  <si>
    <t>JOSÉ DIOGO DA COSTA CORREIA</t>
  </si>
  <si>
    <t>JOSÉ FERNANDO QUEIROZ VALENTE</t>
  </si>
  <si>
    <t>JOSÉ MARCELO MENDES DIAS</t>
  </si>
  <si>
    <t>JOSÉ MIGUEL BARROS DA COSTA</t>
  </si>
  <si>
    <t>JOSÉ PEDRO PEREIRA DIAS MONTEIRO GRANJA</t>
  </si>
  <si>
    <t>LARA LIMA SOUSA</t>
  </si>
  <si>
    <t>LEONARDO DACIANO MENDES DIAS</t>
  </si>
  <si>
    <t>LEONARDO SOUSA PINTO</t>
  </si>
  <si>
    <t>LIANE RAQUEL MADUREIRA DUARTE</t>
  </si>
  <si>
    <t>LUCAS DURÃES CERQUEIRA</t>
  </si>
  <si>
    <t>LUCAS NOVO GOMES</t>
  </si>
  <si>
    <t>LUCAS RODRIGUES SILVA</t>
  </si>
  <si>
    <t>LUIS EDUARDO TEIXEIRA CARVALHO</t>
  </si>
  <si>
    <t>LUÍS FILIPE CARVALHO MIGUEL</t>
  </si>
  <si>
    <t>LUÍS MIGUEL QUEIRÓS NUNES</t>
  </si>
  <si>
    <t>MANUEL DE ALMEIDA TEIXEIRA</t>
  </si>
  <si>
    <t>MARIA INÊS ALVES MENDES</t>
  </si>
  <si>
    <t>MARIA JOÃO MORAIS SILVA</t>
  </si>
  <si>
    <t>MARTIM CALIXTO RIBEIRO</t>
  </si>
  <si>
    <t>MIGUEL ÂNGELO BARROS VIDAL</t>
  </si>
  <si>
    <t>MIGUEL DOMINGUES GONÇALVES</t>
  </si>
  <si>
    <t>MIGUEL DUARTE RIBEIRO PIRES GONÇALVES</t>
  </si>
  <si>
    <t>NÁDIA GABRIELA DA SILVA FREITAS</t>
  </si>
  <si>
    <t>NEYD HELENA MUNGOI</t>
  </si>
  <si>
    <t>NUNO FILIPE BARROS DE SÁ</t>
  </si>
  <si>
    <t>PAULO JORGE DA COSTA SALGADO</t>
  </si>
  <si>
    <t>PEDRO DE CARVALHO MARTINS</t>
  </si>
  <si>
    <t>PEDRO DUARTE MONTEIRO TEIXEIRA DE CARVALHO</t>
  </si>
  <si>
    <t>PEDRO MANUEL SILVA CARREIRA</t>
  </si>
  <si>
    <t>PEDRO MIGUEL COSTA BRAZ</t>
  </si>
  <si>
    <t>PEDRO MIGUEL GOMES DE SOUSA</t>
  </si>
  <si>
    <t>PEDRO MIGUEL GONÇALVES CARNEIRO</t>
  </si>
  <si>
    <t>PEDRO MIGUEL SANTOS VIEIRA</t>
  </si>
  <si>
    <t>PEDRO RAFAEL VIEIRA DA COSTA</t>
  </si>
  <si>
    <t>PEDRO REIS FERNANDES</t>
  </si>
  <si>
    <t>RAFAEL ANDRÉ DA SILVA CARVALHO</t>
  </si>
  <si>
    <t>RAFAEL DE MAGALHÃES FERNANDES</t>
  </si>
  <si>
    <t>RAFAEL MEDEIROS FERREIRA</t>
  </si>
  <si>
    <t>RAFAEL RIBEIRO JÚLIO</t>
  </si>
  <si>
    <t>RICARDO JORGE GOMES LOPES</t>
  </si>
  <si>
    <t>RICARDO MOURA COELHO</t>
  </si>
  <si>
    <t>RODRIGO DIZ GONCALVES</t>
  </si>
  <si>
    <t>RODRIGO JOSÉ BENTO MARTINS</t>
  </si>
  <si>
    <t>RUI DANIEL FERREIRA MOREIRA</t>
  </si>
  <si>
    <t>RUI MANUEL DE CASTRO FERREIRA</t>
  </si>
  <si>
    <t>SALOMÉ LAURINDA CARDOSO BATISTA</t>
  </si>
  <si>
    <t>SÉRGIO HENRIQUE OLIVEIRA VIEIRA</t>
  </si>
  <si>
    <t>SIMÃO PEDRO ARAUJO BATISTA</t>
  </si>
  <si>
    <t>TIAGO ALEXANDRE ALVES FERNANDES REI</t>
  </si>
  <si>
    <t>TIAGO ALEXANDRE LOPES MENDES</t>
  </si>
  <si>
    <t>TIAGO GUILHERME ALVES SAMPAIO</t>
  </si>
  <si>
    <t>TIAGO SILVA RIBEIRO</t>
  </si>
  <si>
    <t>TIAGO TEIXEIRA PEREIRA</t>
  </si>
  <si>
    <t>TOMÁS FRANCISCO COSTA CAMPELOS</t>
  </si>
  <si>
    <t>TOMAS LIMA FERNANDES</t>
  </si>
  <si>
    <t>TOMÁS MANUEL BORRALHEIRO DE VASCONCELOS</t>
  </si>
  <si>
    <t>TOMÁS MELO DA MOTA</t>
  </si>
  <si>
    <t>VALENTIM DA CONCEIÇÃO SILVA</t>
  </si>
  <si>
    <t>VASCO SANTOS SÁ</t>
  </si>
  <si>
    <t>VITOR MANUEL OLIVEIRA FRAGA COUTINHO</t>
  </si>
  <si>
    <t>Aprendizagem automática de inspiração quântica para prevenção do risco de lesão no pé diabético</t>
  </si>
  <si>
    <t>Algoritmos de inteligência artificial com inspiração quântica para análise da distribuição da temperatura na planta dos pés: uma revisão</t>
  </si>
  <si>
    <t>Plataforma Web Interativa para Reconstrução e Análise de Sinais em Sistemas IoT</t>
  </si>
  <si>
    <t>Plataforma de Detecção de Anomalias em Redes IoT com Aprendizagem Máquina</t>
  </si>
  <si>
    <t>Blip Project - Expense Tracker</t>
  </si>
  <si>
    <t>Blip Project - Life RPG</t>
  </si>
  <si>
    <t>Blip Project - Risk Analysis</t>
  </si>
  <si>
    <t>Blip Project - Rules Management</t>
  </si>
  <si>
    <t>Avaliação do conhecimento factual de Grandes Modelos de Linguagem no domínio médico</t>
  </si>
  <si>
    <t>Identificação dos componentes do viés de confirmação em um datasets de questões de saúde para Grandes Modelos de Linguagem</t>
  </si>
  <si>
    <t>Orquestração de Chamadas a APIs de Large Language Models para Processamento de Dados de Saúde Pública no âmbito do projeto HfPT</t>
  </si>
  <si>
    <t>Dashboard para Apoio ao Processamento de Dados de Saúde Pública com Large Language Models no âmbito do projeto HfPT</t>
  </si>
  <si>
    <t>Passus App – Uma aplicação móvel para monitorizar os dados de atividades físicas na doença arterial periférica</t>
  </si>
  <si>
    <t>Arquitetura da Plataforma Web de Treino Cognitivo (CognitiveTrainingToolkit)</t>
  </si>
  <si>
    <t>Geração de estímulos visuais com Inteligência Artificial para treino cognitivo (CognitiveTrainingToolkit)</t>
  </si>
  <si>
    <t>Desenvolvimento de mini-jogos web de treino cognitivo - Linguagem (CognitiveTrainingToolkit)</t>
  </si>
  <si>
    <t>Desenvolvimento de mini-jogos web de treino cognitivo – Funcionamento Executivo (CognitiveTrainingToolkit)</t>
  </si>
  <si>
    <t>Desenvolvimento de mini-jogos web de treino cognitivo – Memória (CognitiveTrainingToolkit)</t>
  </si>
  <si>
    <t>Desenvolvimento de mini-jogos web de treino cognitivo - Atenção (CognitiveTrainingToolkit)</t>
  </si>
  <si>
    <t>Design de Interfaces e elaboração de Personas para o projeto DepressionSense</t>
  </si>
  <si>
    <t>Testes de usabilidade e análise de dados de interação para o projeto DepressionSense</t>
  </si>
  <si>
    <t>Integração da Plataforma WalkingPAD em Percursos de Certificação de Aplicações Digitais em Saúde</t>
  </si>
  <si>
    <t>Aplicação “Professor Piano” - Desenvolvimento de personalização cognitiva para um jogo educativo</t>
  </si>
  <si>
    <t>Caracterização de materiais metálicos através de visão por computador</t>
  </si>
  <si>
    <t>Reconstrução de tomografia computorizada para elementos finitos</t>
  </si>
  <si>
    <t>Desenvolvimento de uma Aplicação Multimédia Interativa para Visualização e Análise de Dados de Precipitação Extrema</t>
  </si>
  <si>
    <t>Desenvolvimento de uma Aplicação Multimédia Interativa para Visualização e Análise de um Evento Extremo de Frio</t>
  </si>
  <si>
    <t>Desenvolvimento de uma Aplicação Multimédia Interativa para Visualização e Monitorização de Ondas de Calor</t>
  </si>
  <si>
    <t>Desenvolvimento de uma Aplicação Multimédia Interativa para Visualização e Monitorização de Secas</t>
  </si>
  <si>
    <t>Desenvolvimento de uma Aplicação Multimédia Interativa para Visualização e Monitorização de Perigo de Incêndios Rurais</t>
  </si>
  <si>
    <t>Geração de Dados Sintéticos para Séries Temporais com Modelos de IA</t>
  </si>
  <si>
    <t>Monitorização e Deteção de Anomalias em Ambientes Residenciais</t>
  </si>
  <si>
    <t>SWAP - Student Web for Academic Products</t>
  </si>
  <si>
    <t>Aplicação para Navegação Pedestre no Campus da UTAD</t>
  </si>
  <si>
    <t>Localização dentro de Edifícios através de Inteligência Artificial</t>
  </si>
  <si>
    <t>RenderIA: Geração Dinâmica de Texturas para Ambientes 3D</t>
  </si>
  <si>
    <t>MoveMatch VR: Análise Comparativa de Movimentos em Treino Imersivo</t>
  </si>
  <si>
    <t>CWL FlowBuilder: Editor Visual “Node-Graph” para Workflows</t>
  </si>
  <si>
    <t>ARNavAI 2.0: Navegação Indoor em AR com Guia Inteligente Multimodal</t>
  </si>
  <si>
    <t>Virtual Mirror 2.0: Diálogos Terapêuticos em VR com o “Outro Eu” (IA + Biofeedback)</t>
  </si>
  <si>
    <t>ProjectPilot: o teu Copiloto Local para Projetos Europeus</t>
  </si>
  <si>
    <t>Refinaria em 360º: Do “Arquivo Digital” da GALP a Experiências Imersivas</t>
  </si>
  <si>
    <t>Dynamic Dashboard Generation Platform 2.0 - frontend</t>
  </si>
  <si>
    <t>Dynamic Dashboard Generation Platform 2.0 - backend</t>
  </si>
  <si>
    <t>Digital Twin Imersivo do Oceano para Apoio aos Derrames de Óleo (Vibe Coding)</t>
  </si>
  <si>
    <t>Digital Twin Imersivo do Oceano para Apoio aos Derrames de Óleo (NVIDIA Omniverse)</t>
  </si>
  <si>
    <t>Refactor Wars: APPLOY 2.0 Edition</t>
  </si>
  <si>
    <t>Classificação Dinâmica de Jogadores e Adaptação de Gaming Elements no JellyFishGO</t>
  </si>
  <si>
    <t>SmartBikeRoutes: Serviço Inteligente de Planeamento de Rotas Cicláveis Personalizadas</t>
  </si>
  <si>
    <t>MotoGuard IoT: Plataforma Web de Telemetria Inteligente para Motociclos</t>
  </si>
  <si>
    <t>Estimativa de Distâncias a Obstáculos com IA para Sistemas de Apoio em Motas</t>
  </si>
  <si>
    <t>CoachAI: Avaliação Automática da Técnica de Exercícios de Força com Estimativa 
de Pose On-Device</t>
  </si>
  <si>
    <t>GaitLab: Análise da Marcha e da Corrida com Recurso a Smartphone</t>
  </si>
  <si>
    <t>Deteção Automática de Desinformação Visual</t>
  </si>
  <si>
    <t>Identificação Automática de Burlas em Mensagens Digitais</t>
  </si>
  <si>
    <t>Plataforma Introdutória para Literacia em Inteligência Artificial</t>
  </si>
  <si>
    <t>Reconhecimento Facial e Controlo de Idade em Interfaces Digitais</t>
  </si>
  <si>
    <t>Tutor Inteligente 2.0: Hiper-personalização do Ensino com RAG</t>
  </si>
  <si>
    <t>Consultor Financeiro Pessoal Baseado em Open Banking e Agentes IA</t>
  </si>
  <si>
    <t>Deteção de Deepfakes e Desinformação em Media Digital</t>
  </si>
  <si>
    <t>Digital Twin Pessoal para Monitorização de Saúde com Integração de Wearables</t>
  </si>
  <si>
    <t>Sistema de Gestão de Condomínios e Propriedades</t>
  </si>
  <si>
    <t>Gestão de Contratos e Ciclo de Vida de Documentos (CLM)</t>
  </si>
  <si>
    <t>Plataforma de Gestão de Eventos e Bilheteira Corporativa</t>
  </si>
  <si>
    <t>Sistema de Gestão de Frotas e Despesas de Mobilidade</t>
  </si>
  <si>
    <t>Sistema de Gestão de Sócios e Mensalidades para Clubes/Ginásios</t>
  </si>
  <si>
    <t>Sistema de Gestão para Restauração (Backoffice de Cozinha)</t>
  </si>
  <si>
    <t>Sistema de Gestão para Restauração (POS)</t>
  </si>
  <si>
    <t>Portal de Compras e Gestão de Fornecedores (e-Procurement)</t>
  </si>
  <si>
    <t>Recrutador IA Ético: Análise Semântica e Anonimização de Currículos</t>
  </si>
  <si>
    <t>Gestão Inteligente de Tráfego Urbano com Simulação de Agentes</t>
  </si>
  <si>
    <t>Análise e Conceção de uma Aplicação Web para Gestão da Atividade Desportiva da FPB</t>
  </si>
  <si>
    <t>Desenvolvimento de uma Aplicação para Gestão e Análise de Exames de Escoliose – Equipa 01</t>
  </si>
  <si>
    <t>Desenvolvimento de uma Aplicação para Gestão e Análise de Exames de Escoliose – Equipa 02</t>
  </si>
  <si>
    <t>Desenvolvimento de Algoritmos Deeplearning para APP de Análise de Exames de Escoliose – Equipa 03</t>
  </si>
  <si>
    <t>Desenvolvimento de Algoritmos Deeplearning para APP de Análise de Exames de Escoliose – Equipa 04</t>
  </si>
  <si>
    <t>Sistemas Autónomos de Navegação Aérea: Projeto de Implementação e Controlo de UAVs</t>
  </si>
  <si>
    <t>Viver as Memórias: Interfaces Imersivas para Histórias de Vida no Envelhecimento</t>
  </si>
  <si>
    <t>Carta-de-Vida Inteligente: Estruturação de Histórias de Vida com Inteligência Artificial Generativa</t>
  </si>
  <si>
    <t>Carta-de-Vida Digital: Cocriação de Interfaces para Recolha de Histórias de Vida</t>
  </si>
  <si>
    <t>Jogos sérios desenvolvidos com inteligência artificial para a inclusão de pessoas com deficiência</t>
  </si>
  <si>
    <t>Geração de Datasets Sintéticos para Deteção de Veículos utilizando o Simulador CARLA</t>
  </si>
  <si>
    <t>Otimização e Comparação de Variantes da Arquitetura DisNet para Estimativa de Distância</t>
  </si>
  <si>
    <t>Previsão de Operações Públicas de Aquisição no Mercado de Capitais: Uma Abordagem Baseada em Algoritmos de Machine Learning</t>
  </si>
  <si>
    <t>AskUTAD: Chatbot de Apoio aos Estudantes da UTAD</t>
  </si>
  <si>
    <t>EdVeeIA: Tutor Inteligente para Apoio ao Design Pedagógico</t>
  </si>
  <si>
    <t>EscapeUTAD: Jogo 2D para a Integração Académica no Ensino Superior</t>
  </si>
  <si>
    <t>PTM-NONIO: Aplicação de Gestão Automática de Tutoria e Mentoria</t>
  </si>
  <si>
    <t>UTAD+SUCESSO App: Plataforma de Apoio à Integração e Sucesso Académico</t>
  </si>
  <si>
    <t>Aquisição e análise de dados de corridas de kart para cálculo de indicadores de performance</t>
  </si>
  <si>
    <t>Aplicação móvel para análise de jogos de bilhar</t>
  </si>
  <si>
    <t>Explainable AI for Machine Learning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</si>
</sst>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8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2" xfId="0" applyBorder="1" applyProtection="1">
      <protection locked="0"/>
    </xf>
    <xf numFmtId="0" fontId="5" fillId="0" borderId="2" xfId="0" applyFont="1" applyBorder="1"/>
    <xf numFmtId="0" fontId="0" fillId="0" borderId="2" xfId="0" applyBorder="1"/>
    <xf numFmtId="0" fontId="6" fillId="0" borderId="2" xfId="0" applyFont="1" applyBorder="1"/>
    <xf numFmtId="0" fontId="0" fillId="0" borderId="3" xfId="0" applyBorder="1"/>
    <xf numFmtId="0" fontId="0" fillId="0" borderId="5" xfId="0" applyBorder="1" applyProtection="1">
      <protection locked="0"/>
    </xf>
    <xf numFmtId="0" fontId="5" fillId="0" borderId="5" xfId="0" applyFont="1" applyBorder="1"/>
    <xf numFmtId="0" fontId="0" fillId="0" borderId="5" xfId="0" applyBorder="1"/>
    <xf numFmtId="0" fontId="6" fillId="0" borderId="5" xfId="0" applyFont="1" applyBorder="1"/>
    <xf numFmtId="0" fontId="0" fillId="0" borderId="6" xfId="0" applyBorder="1"/>
    <xf numFmtId="0" fontId="1" fillId="0" borderId="0" xfId="0" applyFont="1" applyAlignment="1">
      <alignment horizontal="center"/>
    </xf>
    <xf numFmtId="0" fontId="0" fillId="0" borderId="7" xfId="0" applyBorder="1"/>
    <xf numFmtId="0" fontId="7" fillId="0" borderId="7" xfId="0" applyFont="1" applyBorder="1" applyAlignment="1" applyProtection="1">
      <alignment horizontal="right"/>
      <protection locked="0"/>
    </xf>
    <xf numFmtId="0" fontId="8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12" xfId="0" applyBorder="1"/>
    <xf numFmtId="0" fontId="6" fillId="0" borderId="13" xfId="0" applyFont="1" applyBorder="1" applyAlignment="1" applyProtection="1">
      <alignment horizontal="center"/>
      <protection locked="0"/>
    </xf>
    <xf numFmtId="0" fontId="0" fillId="0" borderId="15" xfId="0" applyBorder="1"/>
    <xf numFmtId="0" fontId="6" fillId="0" borderId="16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 applyProtection="1">
      <alignment horizontal="right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0" fillId="0" borderId="16" xfId="0" applyBorder="1" applyAlignment="1">
      <alignment shrinkToFit="1"/>
    </xf>
    <xf numFmtId="0" fontId="0" fillId="0" borderId="17" xfId="0" applyBorder="1" applyAlignment="1">
      <alignment shrinkToFit="1"/>
    </xf>
    <xf numFmtId="0" fontId="0" fillId="0" borderId="15" xfId="0" applyBorder="1" applyAlignment="1">
      <alignment shrinkToFit="1"/>
    </xf>
    <xf numFmtId="0" fontId="0" fillId="0" borderId="16" xfId="0" applyBorder="1" applyAlignment="1">
      <alignment horizontal="left" shrinkToFit="1"/>
    </xf>
    <xf numFmtId="0" fontId="0" fillId="0" borderId="17" xfId="0" applyBorder="1" applyAlignment="1">
      <alignment horizontal="left" shrinkToFit="1"/>
    </xf>
    <xf numFmtId="0" fontId="0" fillId="0" borderId="15" xfId="0" applyBorder="1" applyAlignment="1">
      <alignment horizontal="left" shrinkToFit="1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left" shrinkToFit="1"/>
    </xf>
    <xf numFmtId="0" fontId="0" fillId="0" borderId="14" xfId="0" applyBorder="1" applyAlignment="1">
      <alignment horizontal="left" shrinkToFit="1"/>
    </xf>
    <xf numFmtId="0" fontId="0" fillId="0" borderId="12" xfId="0" applyBorder="1" applyAlignment="1">
      <alignment horizontal="left" shrinkToFit="1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25fdd09ef5bdf39/Cadeiras/LEI%20%5e0%20LTIC%20-%20Laboratorio%20de%20PROJETO/2025-2026/Candidaturas/BoletimCandidatura_2025-2065_.xlsx" TargetMode="External"/><Relationship Id="rId1" Type="http://schemas.openxmlformats.org/officeDocument/2006/relationships/externalLinkPath" Target="BoletimCandidatura_2025-2065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ndidatura"/>
      <sheetName val="Extração"/>
      <sheetName val="Alunos"/>
    </sheetNames>
    <sheetDataSet>
      <sheetData sheetId="0"/>
      <sheetData sheetId="1"/>
      <sheetData sheetId="2">
        <row r="1">
          <cell r="A1">
            <v>76637</v>
          </cell>
          <cell r="B1" t="str">
            <v>AFONSO DA SILVA GONÇALVES</v>
          </cell>
        </row>
        <row r="2">
          <cell r="A2">
            <v>78606</v>
          </cell>
          <cell r="B2" t="str">
            <v>AFONSO DINIS ALVES DA CUNHA MOURAO ALVES</v>
          </cell>
        </row>
        <row r="3">
          <cell r="A3">
            <v>77361</v>
          </cell>
          <cell r="B3" t="str">
            <v>ALEXANDRE JOSÉ MARTINS MIGUEL</v>
          </cell>
        </row>
        <row r="4">
          <cell r="A4">
            <v>78482</v>
          </cell>
          <cell r="B4" t="str">
            <v>ALEXANDRE RAFAEL DA SILVA FERREIRA</v>
          </cell>
        </row>
        <row r="5">
          <cell r="A5">
            <v>78739</v>
          </cell>
          <cell r="B5" t="str">
            <v>ANA BEATRIZ PEREIRA PINTO</v>
          </cell>
        </row>
        <row r="6">
          <cell r="A6">
            <v>78680</v>
          </cell>
          <cell r="B6" t="str">
            <v>ANA CAROLINA FERREIRA CAVALEIRO</v>
          </cell>
        </row>
        <row r="7">
          <cell r="A7">
            <v>68723</v>
          </cell>
          <cell r="B7" t="str">
            <v>ANDRÉ FILIPE ALVES SOUSA</v>
          </cell>
        </row>
        <row r="8">
          <cell r="A8">
            <v>76663</v>
          </cell>
          <cell r="B8" t="str">
            <v>ANTÓNIO JOSÉ SOARES LEITÃO</v>
          </cell>
        </row>
        <row r="9">
          <cell r="A9">
            <v>78207</v>
          </cell>
          <cell r="B9" t="str">
            <v>ANTÓNIO MANUEL DOS SANTOS FERNANDES</v>
          </cell>
        </row>
        <row r="10">
          <cell r="A10">
            <v>79931</v>
          </cell>
          <cell r="B10" t="str">
            <v>ANTÓNIO MIGUEL MOURA TEIXEIRA SOUSA</v>
          </cell>
        </row>
        <row r="11">
          <cell r="A11">
            <v>78181</v>
          </cell>
          <cell r="B11" t="str">
            <v>BÁRBARA NOGUEIRA FERREIRA</v>
          </cell>
        </row>
        <row r="12">
          <cell r="A12">
            <v>78505</v>
          </cell>
          <cell r="B12" t="str">
            <v>BEATRIZ LEITE PINHEIRO</v>
          </cell>
        </row>
        <row r="13">
          <cell r="A13">
            <v>78607</v>
          </cell>
          <cell r="B13" t="str">
            <v>BEATRIZ PINTO DE SOUSA</v>
          </cell>
        </row>
        <row r="14">
          <cell r="A14">
            <v>78403</v>
          </cell>
          <cell r="B14" t="str">
            <v>BERNARDO DE OLIVEIRA ALMEIDA</v>
          </cell>
        </row>
        <row r="15">
          <cell r="A15">
            <v>79170</v>
          </cell>
          <cell r="B15" t="str">
            <v>BERNARDO DOMINGUES GONÇALVES</v>
          </cell>
        </row>
        <row r="16">
          <cell r="A16">
            <v>79370</v>
          </cell>
          <cell r="B16" t="str">
            <v>BERNARDO VAZ DA SILVA</v>
          </cell>
        </row>
        <row r="17">
          <cell r="A17">
            <v>71570</v>
          </cell>
          <cell r="B17" t="str">
            <v>BRUNO ALEXANDRE PEREIRA FERNANDES</v>
          </cell>
        </row>
        <row r="18">
          <cell r="A18">
            <v>79895</v>
          </cell>
          <cell r="B18" t="str">
            <v>BRUNO RAFAEL BARROS COSTA</v>
          </cell>
        </row>
        <row r="19">
          <cell r="A19">
            <v>78997</v>
          </cell>
          <cell r="B19" t="str">
            <v>BRYAN GONÇALVES DE OLIVEIRA</v>
          </cell>
        </row>
        <row r="20">
          <cell r="A20">
            <v>78174</v>
          </cell>
          <cell r="B20" t="str">
            <v>CARLOS FILIPE PAULINO PINTO</v>
          </cell>
        </row>
        <row r="21">
          <cell r="A21">
            <v>78287</v>
          </cell>
          <cell r="B21" t="str">
            <v>CARLOS MANUEL FERREIRA NETO</v>
          </cell>
        </row>
        <row r="22">
          <cell r="A22">
            <v>78178</v>
          </cell>
          <cell r="B22" t="str">
            <v>CAROLINA MOURA TABOSA</v>
          </cell>
        </row>
        <row r="23">
          <cell r="A23">
            <v>79359</v>
          </cell>
          <cell r="B23" t="str">
            <v>CAROLINA PINHEIRO MACHADO</v>
          </cell>
        </row>
        <row r="24">
          <cell r="A24">
            <v>78495</v>
          </cell>
          <cell r="B24" t="str">
            <v>CÉSAR DANIEL PEREIRA FARIA</v>
          </cell>
        </row>
        <row r="25">
          <cell r="A25">
            <v>70759</v>
          </cell>
          <cell r="B25" t="str">
            <v>CLÁUDIA OLIVEIRA DA SILVA</v>
          </cell>
        </row>
        <row r="26">
          <cell r="A26">
            <v>68894</v>
          </cell>
          <cell r="B26" t="str">
            <v>DAVID CASTRO SILVA</v>
          </cell>
        </row>
        <row r="27">
          <cell r="A27">
            <v>79881</v>
          </cell>
          <cell r="B27" t="str">
            <v>DAVID GOMES FIDALGO</v>
          </cell>
        </row>
        <row r="28">
          <cell r="A28">
            <v>78851</v>
          </cell>
          <cell r="B28" t="str">
            <v>DAVID MANUEL LIMA SANTOS</v>
          </cell>
        </row>
        <row r="29">
          <cell r="A29">
            <v>78671</v>
          </cell>
          <cell r="B29" t="str">
            <v>DIANA MANUELA RODRIGUES DA COSTA</v>
          </cell>
        </row>
        <row r="30">
          <cell r="A30">
            <v>79047</v>
          </cell>
          <cell r="B30" t="str">
            <v>DIANA REGO FERNANDES</v>
          </cell>
        </row>
        <row r="31">
          <cell r="A31">
            <v>65543</v>
          </cell>
          <cell r="B31" t="str">
            <v>DIOGO EDGAR DIAS DA COSTA</v>
          </cell>
        </row>
        <row r="32">
          <cell r="A32">
            <v>78734</v>
          </cell>
          <cell r="B32" t="str">
            <v>DIOGO FERNANDES PINTO</v>
          </cell>
        </row>
        <row r="33">
          <cell r="A33">
            <v>73245</v>
          </cell>
          <cell r="B33" t="str">
            <v>DIOGO RIBEIRO PEIXOTO</v>
          </cell>
        </row>
        <row r="34">
          <cell r="A34">
            <v>75915</v>
          </cell>
          <cell r="B34" t="str">
            <v>DIOGO RIBEIRO TEIXEIRA</v>
          </cell>
        </row>
        <row r="35">
          <cell r="A35">
            <v>78834</v>
          </cell>
          <cell r="B35" t="str">
            <v>DIOGO SILVA CABRAL</v>
          </cell>
        </row>
        <row r="36">
          <cell r="A36">
            <v>78613</v>
          </cell>
          <cell r="B36" t="str">
            <v>DUARTE RUI MAGALHÃES PEREIRA</v>
          </cell>
        </row>
        <row r="37">
          <cell r="A37">
            <v>76574</v>
          </cell>
          <cell r="B37" t="str">
            <v>EDGAR JORGE GOMES DOS SANTOS</v>
          </cell>
        </row>
        <row r="38">
          <cell r="A38">
            <v>77250</v>
          </cell>
          <cell r="B38" t="str">
            <v>EDUARDO JOSÉ MARAVILHA RIBEIRO</v>
          </cell>
        </row>
        <row r="39">
          <cell r="A39">
            <v>79318</v>
          </cell>
          <cell r="B39" t="str">
            <v>FÁBIO ALVES MACHADO DA SILVA</v>
          </cell>
        </row>
        <row r="40">
          <cell r="A40">
            <v>78320</v>
          </cell>
          <cell r="B40" t="str">
            <v>FABIO ANDRE DE ABREU PINTO</v>
          </cell>
        </row>
        <row r="41">
          <cell r="A41">
            <v>79089</v>
          </cell>
          <cell r="B41" t="str">
            <v>FÁBIO DANIEL LEITE MOTA</v>
          </cell>
        </row>
        <row r="42">
          <cell r="A42">
            <v>69849</v>
          </cell>
          <cell r="B42" t="str">
            <v>FERNANDO MIGUEL GARCIA RIBEIRO</v>
          </cell>
        </row>
        <row r="43">
          <cell r="A43">
            <v>78231</v>
          </cell>
          <cell r="B43" t="str">
            <v>FILIPA CARDOSO MONTEIRO</v>
          </cell>
        </row>
        <row r="44">
          <cell r="A44">
            <v>79057</v>
          </cell>
          <cell r="B44" t="str">
            <v>FILIPE AFONSO NUNES</v>
          </cell>
        </row>
        <row r="45">
          <cell r="A45">
            <v>78208</v>
          </cell>
          <cell r="B45" t="str">
            <v>FILIPE MANUEL CORDEIRO RODRIGUES</v>
          </cell>
        </row>
        <row r="46">
          <cell r="A46">
            <v>79213</v>
          </cell>
          <cell r="B46" t="str">
            <v>FLÁVIO MIGUEL GOMES COSTA</v>
          </cell>
        </row>
        <row r="47">
          <cell r="A47">
            <v>78791</v>
          </cell>
          <cell r="B47" t="str">
            <v>FRANCISCO ANTÓNIO ARAÚJO MOTA</v>
          </cell>
        </row>
        <row r="48">
          <cell r="A48">
            <v>78474</v>
          </cell>
          <cell r="B48" t="str">
            <v>FRANCISCO AUGUSTO VERÍSSIMO RUANO</v>
          </cell>
        </row>
        <row r="49">
          <cell r="A49">
            <v>74658</v>
          </cell>
          <cell r="B49" t="str">
            <v>FRANCISCO BRANDÃO MARRACHO</v>
          </cell>
        </row>
        <row r="50">
          <cell r="A50">
            <v>78973</v>
          </cell>
          <cell r="B50" t="str">
            <v>FRANCISCO DOMINGUES LOPES</v>
          </cell>
        </row>
        <row r="51">
          <cell r="A51">
            <v>78818</v>
          </cell>
          <cell r="B51" t="str">
            <v>FRANCISCO GUILHERME VIEIRA GUERRA</v>
          </cell>
        </row>
        <row r="52">
          <cell r="A52">
            <v>76926</v>
          </cell>
          <cell r="B52" t="str">
            <v>FRANCISCO JOSÉ MESQUITA RAMOS</v>
          </cell>
        </row>
        <row r="53">
          <cell r="A53">
            <v>78235</v>
          </cell>
          <cell r="B53" t="str">
            <v>FRANCISCO JOSÉ PEREIRA RODRIGUES</v>
          </cell>
        </row>
        <row r="54">
          <cell r="A54">
            <v>78557</v>
          </cell>
          <cell r="B54" t="str">
            <v>FRANCISCO MARINHO CARVALHO</v>
          </cell>
        </row>
        <row r="55">
          <cell r="A55">
            <v>73603</v>
          </cell>
          <cell r="B55" t="str">
            <v>FRANCISCO OLIVEIRA SANTOS</v>
          </cell>
        </row>
        <row r="56">
          <cell r="A56">
            <v>69696</v>
          </cell>
          <cell r="B56" t="str">
            <v>GONÇALO CAMPOS BORGES</v>
          </cell>
        </row>
        <row r="57">
          <cell r="A57">
            <v>78478</v>
          </cell>
          <cell r="B57" t="str">
            <v>GONÇALO LUÍS MARTINS ARAÚJO</v>
          </cell>
        </row>
        <row r="58">
          <cell r="A58">
            <v>78940</v>
          </cell>
          <cell r="B58" t="str">
            <v>GONÇALO MANUEL SANTOS SOUSA</v>
          </cell>
        </row>
        <row r="59">
          <cell r="A59">
            <v>79034</v>
          </cell>
          <cell r="B59" t="str">
            <v>GONÇALO PEREIRA PINTO</v>
          </cell>
        </row>
        <row r="60">
          <cell r="A60">
            <v>77355</v>
          </cell>
          <cell r="B60" t="str">
            <v>GONÇALO SOARES MONTEIRO</v>
          </cell>
        </row>
        <row r="61">
          <cell r="A61">
            <v>79055</v>
          </cell>
          <cell r="B61" t="str">
            <v>GUILHERME MAGALHÃES PINTO</v>
          </cell>
        </row>
        <row r="62">
          <cell r="A62">
            <v>79954</v>
          </cell>
          <cell r="B62" t="str">
            <v>GUILHERME VIDEIRA GONÇALO</v>
          </cell>
        </row>
        <row r="63">
          <cell r="A63">
            <v>78804</v>
          </cell>
          <cell r="B63" t="str">
            <v>HENRIQUE JOSÉ CONDE DIAS</v>
          </cell>
        </row>
        <row r="64">
          <cell r="A64">
            <v>76598</v>
          </cell>
          <cell r="B64" t="str">
            <v>HUGO MIGUEL SALGADO PEDROSA</v>
          </cell>
        </row>
        <row r="65">
          <cell r="A65">
            <v>79178</v>
          </cell>
          <cell r="B65" t="str">
            <v>IGOR MIGUEL BARBOSA MOREIRA</v>
          </cell>
        </row>
        <row r="66">
          <cell r="A66">
            <v>78204</v>
          </cell>
          <cell r="B66" t="str">
            <v>IGOR SILVA FREITAS</v>
          </cell>
        </row>
        <row r="67">
          <cell r="A67">
            <v>78351</v>
          </cell>
          <cell r="B67" t="str">
            <v>JOÃO BERNARDO PINTO DE MELO E COSME</v>
          </cell>
        </row>
        <row r="68">
          <cell r="A68">
            <v>78806</v>
          </cell>
          <cell r="B68" t="str">
            <v>JOÃO CARVALHO BARROS</v>
          </cell>
        </row>
        <row r="69">
          <cell r="A69">
            <v>78400</v>
          </cell>
          <cell r="B69" t="str">
            <v>JOAO DAVID FRAGA DA SILVA</v>
          </cell>
        </row>
        <row r="70">
          <cell r="A70">
            <v>76011</v>
          </cell>
          <cell r="B70" t="str">
            <v>JOÃO FILIPE CARDOSO MORAIS BESSA</v>
          </cell>
        </row>
        <row r="71">
          <cell r="A71">
            <v>78143</v>
          </cell>
          <cell r="B71" t="str">
            <v>JOAO FILIPE CARNEIRO AZEVEDO</v>
          </cell>
        </row>
        <row r="72">
          <cell r="A72">
            <v>78887</v>
          </cell>
          <cell r="B72" t="str">
            <v>JOÃO GONÇALO VIEIRA MORAIS</v>
          </cell>
        </row>
        <row r="73">
          <cell r="A73">
            <v>76350</v>
          </cell>
          <cell r="B73" t="str">
            <v>JOÃO LUÍS ALVES DE CARVALHO</v>
          </cell>
        </row>
        <row r="74">
          <cell r="A74">
            <v>76642</v>
          </cell>
          <cell r="B74" t="str">
            <v>JOÃO PAREDES LIMA GONÇALVES</v>
          </cell>
        </row>
        <row r="75">
          <cell r="A75">
            <v>78608</v>
          </cell>
          <cell r="B75" t="str">
            <v>JOÃO PEDRO AIRES FRAGUITO FERREIRA</v>
          </cell>
        </row>
        <row r="76">
          <cell r="A76">
            <v>78411</v>
          </cell>
          <cell r="B76" t="str">
            <v>JOÃO PEDRO GUEDES BARREIRA ESTEVES</v>
          </cell>
        </row>
        <row r="77">
          <cell r="A77">
            <v>79229</v>
          </cell>
          <cell r="B77" t="str">
            <v>JOÃO PEDRO OLIVEIRA TEIXEIRA MENDES</v>
          </cell>
        </row>
        <row r="78">
          <cell r="A78">
            <v>80002</v>
          </cell>
          <cell r="B78" t="str">
            <v>JOÃO PEDRO ROCHA GAMA</v>
          </cell>
        </row>
        <row r="79">
          <cell r="A79">
            <v>78930</v>
          </cell>
          <cell r="B79" t="str">
            <v>JOÃO RODRIGO DE VASCONCELOS SOUSA E AZEVEDO</v>
          </cell>
        </row>
        <row r="80">
          <cell r="A80">
            <v>77225</v>
          </cell>
          <cell r="B80" t="str">
            <v>JOÃO VITOR MARINHO SOUSA</v>
          </cell>
        </row>
        <row r="81">
          <cell r="A81">
            <v>75624</v>
          </cell>
          <cell r="B81" t="str">
            <v>JORDI ZEFERINO PINHEIRO MUCUTA</v>
          </cell>
        </row>
        <row r="82">
          <cell r="A82">
            <v>79377</v>
          </cell>
          <cell r="B82" t="str">
            <v>JOSÉ EDUARDO CARVALHO VALE</v>
          </cell>
        </row>
        <row r="83">
          <cell r="A83">
            <v>80055</v>
          </cell>
          <cell r="B83" t="str">
            <v>JOSÉ FILIPE MARINHO CASTRO</v>
          </cell>
        </row>
        <row r="84">
          <cell r="A84">
            <v>73890</v>
          </cell>
          <cell r="B84" t="str">
            <v>JOSÉ FRANCISCO CANELAS RIBEIRO CARDOSO</v>
          </cell>
        </row>
        <row r="85">
          <cell r="A85">
            <v>78513</v>
          </cell>
          <cell r="B85" t="str">
            <v>JOSÉ FRANCISCO MIRANDA NOGUEIRA</v>
          </cell>
        </row>
        <row r="86">
          <cell r="A86">
            <v>78238</v>
          </cell>
          <cell r="B86" t="str">
            <v>JOSÉ PEDRO ALVES BRÁS</v>
          </cell>
        </row>
        <row r="87">
          <cell r="A87">
            <v>73239</v>
          </cell>
          <cell r="B87" t="str">
            <v>JOSÉ PEDRO DO COUTO MEIRELES ALVES</v>
          </cell>
        </row>
        <row r="88">
          <cell r="A88">
            <v>77277</v>
          </cell>
          <cell r="B88" t="str">
            <v>JOSÉ PEDRO MACHADO MAGALHÃES</v>
          </cell>
        </row>
        <row r="89">
          <cell r="A89">
            <v>79169</v>
          </cell>
          <cell r="B89" t="str">
            <v>JULIANA FRANCO GUERRA</v>
          </cell>
        </row>
        <row r="90">
          <cell r="A90">
            <v>80049</v>
          </cell>
          <cell r="B90" t="str">
            <v>LARA SOFIA FREITAS ESTEVES</v>
          </cell>
        </row>
        <row r="91">
          <cell r="A91">
            <v>78473</v>
          </cell>
          <cell r="B91" t="str">
            <v>LEONARDO DANIEL CARVALHO SALAZAR</v>
          </cell>
        </row>
        <row r="92">
          <cell r="A92">
            <v>73664</v>
          </cell>
          <cell r="B92" t="str">
            <v>LEONARDO PONTES MOURA</v>
          </cell>
        </row>
        <row r="93">
          <cell r="A93">
            <v>79139</v>
          </cell>
          <cell r="B93" t="str">
            <v>LEONARDO SILVA LOPES</v>
          </cell>
        </row>
        <row r="94">
          <cell r="A94">
            <v>78160</v>
          </cell>
          <cell r="B94" t="str">
            <v>LEONOR TEIXEIRA PINTO</v>
          </cell>
        </row>
        <row r="95">
          <cell r="A95">
            <v>78538</v>
          </cell>
          <cell r="B95" t="str">
            <v>LEONOR TEIXEIRA PINTO</v>
          </cell>
        </row>
        <row r="96">
          <cell r="A96">
            <v>78464</v>
          </cell>
          <cell r="B96" t="str">
            <v>LUCAS FRANCISCO RIBEIRO ALVES</v>
          </cell>
        </row>
        <row r="97">
          <cell r="A97">
            <v>78644</v>
          </cell>
          <cell r="B97" t="str">
            <v>LUÍS ANDRÉ CASTRO LEMOS</v>
          </cell>
        </row>
        <row r="98">
          <cell r="A98">
            <v>79171</v>
          </cell>
          <cell r="B98" t="str">
            <v>LUÍS MIGUEL ALVES E SILVA</v>
          </cell>
        </row>
        <row r="99">
          <cell r="A99">
            <v>78692</v>
          </cell>
          <cell r="B99" t="str">
            <v>MANUEL ANTONIO OLIVEIRA PINHO</v>
          </cell>
        </row>
        <row r="100">
          <cell r="A100">
            <v>79358</v>
          </cell>
          <cell r="B100" t="str">
            <v>MANUEL JOSÉ LEITE LAGE RIBEIRO DE ALMEIDA</v>
          </cell>
        </row>
        <row r="101">
          <cell r="A101">
            <v>77291</v>
          </cell>
          <cell r="B101" t="str">
            <v>MARCO IVAN PAIS SANTOS</v>
          </cell>
        </row>
        <row r="102">
          <cell r="A102">
            <v>77198</v>
          </cell>
          <cell r="B102" t="str">
            <v>MARCUS DAVI DE CARVALHO CABRAL</v>
          </cell>
        </row>
        <row r="103">
          <cell r="A103">
            <v>78222</v>
          </cell>
          <cell r="B103" t="str">
            <v>MARIA INÊS MESQUITA CARDOSO</v>
          </cell>
        </row>
        <row r="104">
          <cell r="A104">
            <v>78721</v>
          </cell>
          <cell r="B104" t="str">
            <v>MARIA TORRES COELHO</v>
          </cell>
        </row>
        <row r="105">
          <cell r="A105">
            <v>77164</v>
          </cell>
          <cell r="B105" t="str">
            <v>MÁRIO JOÃO SANTOS ZOIO</v>
          </cell>
        </row>
        <row r="106">
          <cell r="A106">
            <v>75541</v>
          </cell>
          <cell r="B106" t="str">
            <v>MARIO JORGE FERNANDES DE CARVALHO SOBRAL</v>
          </cell>
        </row>
        <row r="107">
          <cell r="A107">
            <v>76371</v>
          </cell>
          <cell r="B107" t="str">
            <v>MARTA SOFIA PEREIRA COUTINHO</v>
          </cell>
        </row>
        <row r="108">
          <cell r="A108">
            <v>78681</v>
          </cell>
          <cell r="B108" t="str">
            <v>MARTIM AFONSO DE JESUS RAMOS CORREIA MARTINS</v>
          </cell>
        </row>
        <row r="109">
          <cell r="A109">
            <v>78442</v>
          </cell>
          <cell r="B109" t="str">
            <v>MATEUS RODRIGUES DE MATOS</v>
          </cell>
        </row>
        <row r="110">
          <cell r="A110">
            <v>79908</v>
          </cell>
          <cell r="B110" t="str">
            <v>MATILDE DIAS COELHO</v>
          </cell>
        </row>
        <row r="111">
          <cell r="A111">
            <v>78202</v>
          </cell>
          <cell r="B111" t="str">
            <v>MIGUEL CATALÃO PINTO</v>
          </cell>
        </row>
        <row r="112">
          <cell r="A112">
            <v>76833</v>
          </cell>
          <cell r="B112" t="str">
            <v>MIGUEL LEMOS PEREIRA</v>
          </cell>
        </row>
        <row r="113">
          <cell r="A113">
            <v>78321</v>
          </cell>
          <cell r="B113" t="str">
            <v>MIGUEL RODRIGUES TEIXEIRA</v>
          </cell>
        </row>
        <row r="114">
          <cell r="A114">
            <v>78535</v>
          </cell>
          <cell r="B114" t="str">
            <v>NUNO GUILHERME PINTO AMERICANO</v>
          </cell>
        </row>
        <row r="115">
          <cell r="A115">
            <v>78335</v>
          </cell>
          <cell r="B115" t="str">
            <v>NUNO MIGUEL RESENDE DE MELO</v>
          </cell>
        </row>
        <row r="116">
          <cell r="A116">
            <v>76889</v>
          </cell>
          <cell r="B116" t="str">
            <v>NUNO MIGUEL RIBEIRO FERREIRA</v>
          </cell>
        </row>
        <row r="117">
          <cell r="A117">
            <v>77181</v>
          </cell>
          <cell r="B117" t="str">
            <v>PEDRO AFONSO PIRES</v>
          </cell>
        </row>
        <row r="118">
          <cell r="A118">
            <v>79431</v>
          </cell>
          <cell r="B118" t="str">
            <v>PEDRO ANDRÉ ABADE SAMPAIO</v>
          </cell>
        </row>
        <row r="119">
          <cell r="A119">
            <v>70597</v>
          </cell>
          <cell r="B119" t="str">
            <v>PEDRO ANTÓNIO SANTOS RODRIGUES</v>
          </cell>
        </row>
        <row r="120">
          <cell r="A120">
            <v>80038</v>
          </cell>
          <cell r="B120" t="str">
            <v>PEDRO DANIEL PEREIRA SANTOS</v>
          </cell>
        </row>
        <row r="121">
          <cell r="A121">
            <v>78686</v>
          </cell>
          <cell r="B121" t="str">
            <v>PEDRO DUARTE DE FONTOURA E PEREIRA</v>
          </cell>
        </row>
        <row r="122">
          <cell r="A122">
            <v>70778</v>
          </cell>
          <cell r="B122" t="str">
            <v>PEDRO FRANCISCO MONTEIRO ESCORTELL SENDÃO</v>
          </cell>
        </row>
        <row r="123">
          <cell r="A123">
            <v>78173</v>
          </cell>
          <cell r="B123" t="str">
            <v>PEDRO MANUEL SOUSA FERREIRA</v>
          </cell>
        </row>
        <row r="124">
          <cell r="A124">
            <v>71134</v>
          </cell>
          <cell r="B124" t="str">
            <v>PEDRO MIGUEL MONTEIRO BARROSO</v>
          </cell>
        </row>
        <row r="125">
          <cell r="A125">
            <v>74160</v>
          </cell>
          <cell r="B125" t="str">
            <v>PEDRO MIGUEL PEREIRA DE MELO</v>
          </cell>
        </row>
        <row r="126">
          <cell r="A126">
            <v>78140</v>
          </cell>
          <cell r="B126" t="str">
            <v>PEDRO MIGUEL PEREIRA MENDES</v>
          </cell>
        </row>
        <row r="127">
          <cell r="A127">
            <v>78532</v>
          </cell>
          <cell r="B127" t="str">
            <v>RAFAEL FILIPE PINTO SILVA</v>
          </cell>
        </row>
        <row r="128">
          <cell r="A128">
            <v>78649</v>
          </cell>
          <cell r="B128" t="str">
            <v>RICARDO DA FONSECA PEREIRA</v>
          </cell>
        </row>
        <row r="129">
          <cell r="A129">
            <v>79194</v>
          </cell>
          <cell r="B129" t="str">
            <v>RICARDO DANIEL DA COSTA TEIXEIRA</v>
          </cell>
        </row>
        <row r="130">
          <cell r="A130">
            <v>79125</v>
          </cell>
          <cell r="B130" t="str">
            <v>RICARDO DOS ANJOS FREITAS</v>
          </cell>
        </row>
        <row r="131">
          <cell r="A131">
            <v>66659</v>
          </cell>
          <cell r="B131" t="str">
            <v>RICARDO FILIPE CARVALHO NÓBREGA</v>
          </cell>
        </row>
        <row r="132">
          <cell r="A132">
            <v>78803</v>
          </cell>
          <cell r="B132" t="str">
            <v>RICARDO LUÍS GOMES MÚRIAS</v>
          </cell>
        </row>
        <row r="133">
          <cell r="A133">
            <v>77283</v>
          </cell>
          <cell r="B133" t="str">
            <v>RICARDO MIGUEL ANDRADE LARANJINHA</v>
          </cell>
        </row>
        <row r="134">
          <cell r="A134">
            <v>77197</v>
          </cell>
          <cell r="B134" t="str">
            <v>RODRIGO COUTO RIBEIRO</v>
          </cell>
        </row>
        <row r="135">
          <cell r="A135">
            <v>78132</v>
          </cell>
          <cell r="B135" t="str">
            <v>RODRIGO FERNANDES MIRANDA</v>
          </cell>
        </row>
        <row r="136">
          <cell r="A136">
            <v>79352</v>
          </cell>
          <cell r="B136" t="str">
            <v>RODRIGO GARCIA CARDOSO</v>
          </cell>
        </row>
        <row r="137">
          <cell r="A137">
            <v>79106</v>
          </cell>
          <cell r="B137" t="str">
            <v>RODRIGO JOSÉ BASTOS VENÂNCIO</v>
          </cell>
        </row>
        <row r="138">
          <cell r="A138">
            <v>74580</v>
          </cell>
          <cell r="B138" t="str">
            <v>RODRIGO JOSE GOMES FERNANDES</v>
          </cell>
        </row>
        <row r="139">
          <cell r="A139">
            <v>75951</v>
          </cell>
          <cell r="B139" t="str">
            <v>RUI ALEXANDRE PINTO DE CARVALHO</v>
          </cell>
        </row>
        <row r="140">
          <cell r="A140">
            <v>79138</v>
          </cell>
          <cell r="B140" t="str">
            <v>RUI FÉLIX REQUEIJO</v>
          </cell>
        </row>
        <row r="141">
          <cell r="A141">
            <v>78779</v>
          </cell>
          <cell r="B141" t="str">
            <v>RUI JORGE SANTOS ESTEVES</v>
          </cell>
        </row>
        <row r="142">
          <cell r="A142">
            <v>78763</v>
          </cell>
          <cell r="B142" t="str">
            <v>RUI MIGUEL BRAZ SILVEIRA</v>
          </cell>
        </row>
        <row r="143">
          <cell r="A143">
            <v>78555</v>
          </cell>
          <cell r="B143" t="str">
            <v>RUI PEDRO CARVALHO COUTO</v>
          </cell>
        </row>
        <row r="144">
          <cell r="A144">
            <v>78736</v>
          </cell>
          <cell r="B144" t="str">
            <v>RUI PEDRO DIAS PIRES MAURICIO</v>
          </cell>
        </row>
        <row r="145">
          <cell r="A145">
            <v>79858</v>
          </cell>
          <cell r="B145" t="str">
            <v>RUI PEDRO FERREIRA SOARES</v>
          </cell>
        </row>
        <row r="146">
          <cell r="A146">
            <v>77199</v>
          </cell>
          <cell r="B146" t="str">
            <v>RUI PEDRO GONÇALVES MEIRELES</v>
          </cell>
        </row>
        <row r="147">
          <cell r="A147">
            <v>78548</v>
          </cell>
          <cell r="B147" t="str">
            <v>RUI PEDRO LEITAO DE VASCONCELOS</v>
          </cell>
        </row>
        <row r="148">
          <cell r="A148">
            <v>74214</v>
          </cell>
          <cell r="B148" t="str">
            <v>RUI PEDRO PEREIRA COSTA</v>
          </cell>
        </row>
        <row r="149">
          <cell r="A149">
            <v>78282</v>
          </cell>
          <cell r="B149" t="str">
            <v>RUI PEDRO VIEIRA DE CASTRO PINTO DE MADUREIRA</v>
          </cell>
        </row>
        <row r="150">
          <cell r="A150">
            <v>76885</v>
          </cell>
          <cell r="B150" t="str">
            <v>RUI ROSENDE GOMES</v>
          </cell>
        </row>
        <row r="151">
          <cell r="A151">
            <v>78722</v>
          </cell>
          <cell r="B151" t="str">
            <v>SÉRGIO DIOGO TEIXEIRA SERRA</v>
          </cell>
        </row>
        <row r="152">
          <cell r="A152">
            <v>78563</v>
          </cell>
          <cell r="B152" t="str">
            <v>SERGIO FERNANDO DE SOUSA MAGALHAES</v>
          </cell>
        </row>
        <row r="153">
          <cell r="A153">
            <v>76291</v>
          </cell>
          <cell r="B153" t="str">
            <v>SÉRGIO MIGUEL PEREIRA MONIZ</v>
          </cell>
        </row>
        <row r="154">
          <cell r="A154">
            <v>80053</v>
          </cell>
          <cell r="B154" t="str">
            <v>TIAGO ANDRE RODRIGUES BARRADAS</v>
          </cell>
        </row>
        <row r="155">
          <cell r="A155">
            <v>78800</v>
          </cell>
          <cell r="B155" t="str">
            <v>TIAGO FERNANDO VALENTE SOUSA CARVALHO</v>
          </cell>
        </row>
        <row r="156">
          <cell r="A156">
            <v>78918</v>
          </cell>
          <cell r="B156" t="str">
            <v>TIAGO FERREIRA DANTAS</v>
          </cell>
        </row>
        <row r="157">
          <cell r="A157">
            <v>78417</v>
          </cell>
          <cell r="B157" t="str">
            <v>TIAGO ISIDRO SOUSA DA SILVA</v>
          </cell>
        </row>
        <row r="158">
          <cell r="A158">
            <v>78501</v>
          </cell>
          <cell r="B158" t="str">
            <v>TIAGO JOSE MOTA COSTA</v>
          </cell>
        </row>
        <row r="159">
          <cell r="A159">
            <v>79418</v>
          </cell>
          <cell r="B159" t="str">
            <v>TIAGO PEREIRA CUNHA</v>
          </cell>
        </row>
        <row r="160">
          <cell r="A160">
            <v>79875</v>
          </cell>
          <cell r="B160" t="str">
            <v>TIAGO SOL RIBEIRO</v>
          </cell>
        </row>
        <row r="161">
          <cell r="A161">
            <v>78658</v>
          </cell>
          <cell r="B161" t="str">
            <v>TOMÁS MARTINS PINTO</v>
          </cell>
        </row>
        <row r="162">
          <cell r="A162">
            <v>77370</v>
          </cell>
          <cell r="B162" t="str">
            <v>TUKAYANA SARA DE OLIVEIRA MANDINGA</v>
          </cell>
        </row>
        <row r="163">
          <cell r="A163">
            <v>75590</v>
          </cell>
          <cell r="B163" t="str">
            <v>VÂNIA ISABEL RIBEIRO FONSECA</v>
          </cell>
        </row>
        <row r="164">
          <cell r="A164">
            <v>78798</v>
          </cell>
          <cell r="B164" t="str">
            <v>VASCO DA SILVA MACEDO</v>
          </cell>
        </row>
        <row r="165">
          <cell r="A165">
            <v>78206</v>
          </cell>
          <cell r="B165" t="str">
            <v>VASCO PINHEIRO COELHO</v>
          </cell>
        </row>
        <row r="166">
          <cell r="A166">
            <v>78138</v>
          </cell>
          <cell r="B166" t="str">
            <v>VITOR ALBERTO DE SA RIBEIRO</v>
          </cell>
        </row>
        <row r="167">
          <cell r="A167">
            <v>78395</v>
          </cell>
          <cell r="B167" t="str">
            <v>VÍTOR FERNANDO MAGALHÃES GONÇALVES</v>
          </cell>
        </row>
        <row r="168">
          <cell r="A168">
            <v>79185</v>
          </cell>
          <cell r="B168" t="str">
            <v>VÍTOR TIAGO DIAS DE LIMA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showGridLines="0" tabSelected="1" workbookViewId="0">
      <selection activeCell="G5" sqref="G5"/>
    </sheetView>
  </sheetViews>
  <sheetFormatPr defaultRowHeight="15" x14ac:dyDescent="0.25"/>
  <cols>
    <col min="1" max="1" width="11.7109375" customWidth="1"/>
    <col min="11" max="11" width="63.5703125" customWidth="1"/>
    <col min="12" max="12" width="18.28515625" customWidth="1"/>
  </cols>
  <sheetData>
    <row r="1" spans="1:12" ht="18.75" x14ac:dyDescent="0.25">
      <c r="A1" s="1" t="s">
        <v>33</v>
      </c>
    </row>
    <row r="2" spans="1:12" ht="18.75" x14ac:dyDescent="0.25">
      <c r="A2" s="1" t="s">
        <v>0</v>
      </c>
    </row>
    <row r="4" spans="1:12" ht="15.75" thickBot="1" x14ac:dyDescent="0.3">
      <c r="A4" s="2" t="s">
        <v>1</v>
      </c>
    </row>
    <row r="5" spans="1:12" ht="19.5" thickTop="1" x14ac:dyDescent="0.3">
      <c r="A5" s="36" t="s">
        <v>2</v>
      </c>
      <c r="B5" s="37"/>
      <c r="C5" s="3"/>
      <c r="D5" s="4" t="str">
        <f>IF(C5&lt;&gt;"",IFERROR(VLOOKUP(C5,[1]Alunos!A:B,2,0),"Aluno não inscrito?"),"")</f>
        <v/>
      </c>
      <c r="E5" s="5"/>
      <c r="F5" s="5"/>
      <c r="G5" s="5"/>
      <c r="H5" s="5"/>
      <c r="I5" s="6"/>
      <c r="J5" s="7"/>
    </row>
    <row r="6" spans="1:12" ht="19.5" thickBot="1" x14ac:dyDescent="0.35">
      <c r="A6" s="38" t="s">
        <v>3</v>
      </c>
      <c r="B6" s="39"/>
      <c r="C6" s="8"/>
      <c r="D6" s="9" t="str">
        <f>IF(C6&lt;&gt;"",IFERROR(VLOOKUP(C6,[1]Alunos!A:B,2,0),"Aluno não inscrito?"),"")</f>
        <v/>
      </c>
      <c r="E6" s="9"/>
      <c r="F6" s="9"/>
      <c r="G6" s="10"/>
      <c r="H6" s="10"/>
      <c r="I6" s="11"/>
      <c r="J6" s="12"/>
      <c r="L6" s="13" t="s">
        <v>4</v>
      </c>
    </row>
    <row r="7" spans="1:12" ht="16.5" thickTop="1" x14ac:dyDescent="0.25">
      <c r="A7" s="28"/>
      <c r="B7" s="28"/>
      <c r="C7" s="14"/>
      <c r="D7" s="15" t="s">
        <v>5</v>
      </c>
      <c r="E7" s="26"/>
      <c r="F7" s="26"/>
      <c r="G7" s="26"/>
      <c r="H7" s="26"/>
      <c r="I7" s="26"/>
      <c r="J7" s="26"/>
      <c r="L7" s="13" t="s">
        <v>6</v>
      </c>
    </row>
    <row r="8" spans="1:12" ht="18.75" x14ac:dyDescent="0.3">
      <c r="A8" s="27" t="b">
        <v>0</v>
      </c>
      <c r="B8" s="27"/>
      <c r="D8" s="25" t="s">
        <v>7</v>
      </c>
      <c r="E8" s="35"/>
      <c r="F8" s="35"/>
      <c r="G8" s="35"/>
      <c r="H8" s="35"/>
      <c r="I8" s="35"/>
      <c r="J8" s="35"/>
      <c r="L8" s="16">
        <v>25</v>
      </c>
    </row>
    <row r="9" spans="1:12" ht="18.75" x14ac:dyDescent="0.3">
      <c r="L9" s="16" t="str">
        <f>"Faltam "&amp;(L8-IF(COUNT(L12:L95)&gt;=25,25,COUNT(L12:L95)))</f>
        <v>Faltam 25</v>
      </c>
    </row>
    <row r="11" spans="1:12" ht="31.5" x14ac:dyDescent="0.25">
      <c r="A11" s="17" t="s">
        <v>8</v>
      </c>
      <c r="B11" s="40" t="s">
        <v>9</v>
      </c>
      <c r="C11" s="41"/>
      <c r="D11" s="41"/>
      <c r="E11" s="41"/>
      <c r="F11" s="41"/>
      <c r="G11" s="41"/>
      <c r="H11" s="41"/>
      <c r="I11" s="41"/>
      <c r="J11" s="41"/>
      <c r="K11" s="42"/>
      <c r="L11" s="18" t="s">
        <v>32</v>
      </c>
    </row>
    <row r="12" spans="1:12" ht="18.75" x14ac:dyDescent="0.3">
      <c r="A12" s="19">
        <v>202526001</v>
      </c>
      <c r="B12" s="43" t="s">
        <v>173</v>
      </c>
      <c r="C12" s="44"/>
      <c r="D12" s="44"/>
      <c r="E12" s="44"/>
      <c r="F12" s="44"/>
      <c r="G12" s="44"/>
      <c r="H12" s="44"/>
      <c r="I12" s="44"/>
      <c r="J12" s="44"/>
      <c r="K12" s="45"/>
      <c r="L12" s="20"/>
    </row>
    <row r="13" spans="1:12" ht="18.75" x14ac:dyDescent="0.3">
      <c r="A13" s="21">
        <v>202526002</v>
      </c>
      <c r="B13" s="32" t="s">
        <v>174</v>
      </c>
      <c r="C13" s="33"/>
      <c r="D13" s="33"/>
      <c r="E13" s="33"/>
      <c r="F13" s="33"/>
      <c r="G13" s="33"/>
      <c r="H13" s="33"/>
      <c r="I13" s="33"/>
      <c r="J13" s="33"/>
      <c r="K13" s="34"/>
      <c r="L13" s="22"/>
    </row>
    <row r="14" spans="1:12" ht="18.75" x14ac:dyDescent="0.3">
      <c r="A14" s="21">
        <v>202526003</v>
      </c>
      <c r="B14" s="32" t="s">
        <v>175</v>
      </c>
      <c r="C14" s="33"/>
      <c r="D14" s="33"/>
      <c r="E14" s="33"/>
      <c r="F14" s="33"/>
      <c r="G14" s="33"/>
      <c r="H14" s="33"/>
      <c r="I14" s="33"/>
      <c r="J14" s="33"/>
      <c r="K14" s="34"/>
      <c r="L14" s="22"/>
    </row>
    <row r="15" spans="1:12" ht="18.75" x14ac:dyDescent="0.3">
      <c r="A15" s="21">
        <v>202526004</v>
      </c>
      <c r="B15" s="29" t="s">
        <v>176</v>
      </c>
      <c r="C15" s="30"/>
      <c r="D15" s="30"/>
      <c r="E15" s="30"/>
      <c r="F15" s="30"/>
      <c r="G15" s="30"/>
      <c r="H15" s="30"/>
      <c r="I15" s="30"/>
      <c r="J15" s="30"/>
      <c r="K15" s="31"/>
      <c r="L15" s="22"/>
    </row>
    <row r="16" spans="1:12" ht="18.75" x14ac:dyDescent="0.3">
      <c r="A16" s="21">
        <v>202526005</v>
      </c>
      <c r="B16" s="32" t="s">
        <v>177</v>
      </c>
      <c r="C16" s="33"/>
      <c r="D16" s="33"/>
      <c r="E16" s="33"/>
      <c r="F16" s="33"/>
      <c r="G16" s="33"/>
      <c r="H16" s="33"/>
      <c r="I16" s="33"/>
      <c r="J16" s="33"/>
      <c r="K16" s="34"/>
      <c r="L16" s="22"/>
    </row>
    <row r="17" spans="1:12" ht="18.75" x14ac:dyDescent="0.3">
      <c r="A17" s="21">
        <v>202526006</v>
      </c>
      <c r="B17" s="29" t="s">
        <v>178</v>
      </c>
      <c r="C17" s="30"/>
      <c r="D17" s="30"/>
      <c r="E17" s="30"/>
      <c r="F17" s="30"/>
      <c r="G17" s="30"/>
      <c r="H17" s="30"/>
      <c r="I17" s="30"/>
      <c r="J17" s="30"/>
      <c r="K17" s="31"/>
      <c r="L17" s="22"/>
    </row>
    <row r="18" spans="1:12" ht="18.75" x14ac:dyDescent="0.3">
      <c r="A18" s="21">
        <v>202526007</v>
      </c>
      <c r="B18" s="29" t="s">
        <v>179</v>
      </c>
      <c r="C18" s="30"/>
      <c r="D18" s="30"/>
      <c r="E18" s="30"/>
      <c r="F18" s="30"/>
      <c r="G18" s="30"/>
      <c r="H18" s="30"/>
      <c r="I18" s="30"/>
      <c r="J18" s="30"/>
      <c r="K18" s="31"/>
      <c r="L18" s="22"/>
    </row>
    <row r="19" spans="1:12" ht="18.75" x14ac:dyDescent="0.3">
      <c r="A19" s="21">
        <v>202526008</v>
      </c>
      <c r="B19" s="29" t="s">
        <v>180</v>
      </c>
      <c r="C19" s="30"/>
      <c r="D19" s="30"/>
      <c r="E19" s="30"/>
      <c r="F19" s="30"/>
      <c r="G19" s="30"/>
      <c r="H19" s="30"/>
      <c r="I19" s="30"/>
      <c r="J19" s="30"/>
      <c r="K19" s="31"/>
      <c r="L19" s="22"/>
    </row>
    <row r="20" spans="1:12" ht="18.75" x14ac:dyDescent="0.3">
      <c r="A20" s="21">
        <v>202526009</v>
      </c>
      <c r="B20" s="29" t="s">
        <v>181</v>
      </c>
      <c r="C20" s="30"/>
      <c r="D20" s="30"/>
      <c r="E20" s="30"/>
      <c r="F20" s="30"/>
      <c r="G20" s="30"/>
      <c r="H20" s="30"/>
      <c r="I20" s="30"/>
      <c r="J20" s="30"/>
      <c r="K20" s="31"/>
      <c r="L20" s="22"/>
    </row>
    <row r="21" spans="1:12" ht="18.75" x14ac:dyDescent="0.3">
      <c r="A21" s="21">
        <v>202526010</v>
      </c>
      <c r="B21" s="29" t="s">
        <v>182</v>
      </c>
      <c r="C21" s="30"/>
      <c r="D21" s="30"/>
      <c r="E21" s="30"/>
      <c r="F21" s="30"/>
      <c r="G21" s="30"/>
      <c r="H21" s="30"/>
      <c r="I21" s="30"/>
      <c r="J21" s="30"/>
      <c r="K21" s="31"/>
      <c r="L21" s="22"/>
    </row>
    <row r="22" spans="1:12" ht="18.75" x14ac:dyDescent="0.3">
      <c r="A22" s="21">
        <v>202526011</v>
      </c>
      <c r="B22" s="29" t="s">
        <v>183</v>
      </c>
      <c r="C22" s="30"/>
      <c r="D22" s="30"/>
      <c r="E22" s="30"/>
      <c r="F22" s="30"/>
      <c r="G22" s="30"/>
      <c r="H22" s="30"/>
      <c r="I22" s="30"/>
      <c r="J22" s="30"/>
      <c r="K22" s="31"/>
      <c r="L22" s="22"/>
    </row>
    <row r="23" spans="1:12" ht="18.75" x14ac:dyDescent="0.3">
      <c r="A23" s="21">
        <v>202526012</v>
      </c>
      <c r="B23" s="29" t="s">
        <v>184</v>
      </c>
      <c r="C23" s="30"/>
      <c r="D23" s="30"/>
      <c r="E23" s="30"/>
      <c r="F23" s="30"/>
      <c r="G23" s="30"/>
      <c r="H23" s="30"/>
      <c r="I23" s="30"/>
      <c r="J23" s="30"/>
      <c r="K23" s="31"/>
      <c r="L23" s="22"/>
    </row>
    <row r="24" spans="1:12" ht="18.75" x14ac:dyDescent="0.3">
      <c r="A24" s="21">
        <v>202526013</v>
      </c>
      <c r="B24" s="32" t="s">
        <v>185</v>
      </c>
      <c r="C24" s="33"/>
      <c r="D24" s="33"/>
      <c r="E24" s="33"/>
      <c r="F24" s="33"/>
      <c r="G24" s="33"/>
      <c r="H24" s="33"/>
      <c r="I24" s="33"/>
      <c r="J24" s="33"/>
      <c r="K24" s="34"/>
      <c r="L24" s="22"/>
    </row>
    <row r="25" spans="1:12" ht="18.75" x14ac:dyDescent="0.3">
      <c r="A25" s="21">
        <v>202526014</v>
      </c>
      <c r="B25" s="32" t="s">
        <v>186</v>
      </c>
      <c r="C25" s="33"/>
      <c r="D25" s="33"/>
      <c r="E25" s="33"/>
      <c r="F25" s="33"/>
      <c r="G25" s="33"/>
      <c r="H25" s="33"/>
      <c r="I25" s="33"/>
      <c r="J25" s="33"/>
      <c r="K25" s="34"/>
      <c r="L25" s="22"/>
    </row>
    <row r="26" spans="1:12" ht="18.75" x14ac:dyDescent="0.3">
      <c r="A26" s="21">
        <v>202526015</v>
      </c>
      <c r="B26" s="32" t="s">
        <v>187</v>
      </c>
      <c r="C26" s="33"/>
      <c r="D26" s="33"/>
      <c r="E26" s="33"/>
      <c r="F26" s="33"/>
      <c r="G26" s="33"/>
      <c r="H26" s="33"/>
      <c r="I26" s="33"/>
      <c r="J26" s="33"/>
      <c r="K26" s="34"/>
      <c r="L26" s="22"/>
    </row>
    <row r="27" spans="1:12" ht="18.75" x14ac:dyDescent="0.3">
      <c r="A27" s="21">
        <v>202526016</v>
      </c>
      <c r="B27" s="32" t="s">
        <v>188</v>
      </c>
      <c r="C27" s="33"/>
      <c r="D27" s="33"/>
      <c r="E27" s="33"/>
      <c r="F27" s="33"/>
      <c r="G27" s="33"/>
      <c r="H27" s="33"/>
      <c r="I27" s="33"/>
      <c r="J27" s="33"/>
      <c r="K27" s="34"/>
      <c r="L27" s="22"/>
    </row>
    <row r="28" spans="1:12" ht="18.75" x14ac:dyDescent="0.3">
      <c r="A28" s="21">
        <v>202526017</v>
      </c>
      <c r="B28" s="32" t="s">
        <v>189</v>
      </c>
      <c r="C28" s="33"/>
      <c r="D28" s="33"/>
      <c r="E28" s="33"/>
      <c r="F28" s="33"/>
      <c r="G28" s="33"/>
      <c r="H28" s="33"/>
      <c r="I28" s="33"/>
      <c r="J28" s="33"/>
      <c r="K28" s="34"/>
      <c r="L28" s="22"/>
    </row>
    <row r="29" spans="1:12" ht="18.75" x14ac:dyDescent="0.3">
      <c r="A29" s="21">
        <v>202526018</v>
      </c>
      <c r="B29" s="32" t="s">
        <v>190</v>
      </c>
      <c r="C29" s="33"/>
      <c r="D29" s="33"/>
      <c r="E29" s="33"/>
      <c r="F29" s="33"/>
      <c r="G29" s="33"/>
      <c r="H29" s="33"/>
      <c r="I29" s="33"/>
      <c r="J29" s="33"/>
      <c r="K29" s="34"/>
      <c r="L29" s="22"/>
    </row>
    <row r="30" spans="1:12" ht="18.75" x14ac:dyDescent="0.3">
      <c r="A30" s="21">
        <v>202526019</v>
      </c>
      <c r="B30" s="32" t="s">
        <v>191</v>
      </c>
      <c r="C30" s="33"/>
      <c r="D30" s="33"/>
      <c r="E30" s="33"/>
      <c r="F30" s="33"/>
      <c r="G30" s="33"/>
      <c r="H30" s="33"/>
      <c r="I30" s="33"/>
      <c r="J30" s="33"/>
      <c r="K30" s="34"/>
      <c r="L30" s="22"/>
    </row>
    <row r="31" spans="1:12" ht="18.75" x14ac:dyDescent="0.3">
      <c r="A31" s="21">
        <v>202526020</v>
      </c>
      <c r="B31" s="32" t="s">
        <v>192</v>
      </c>
      <c r="C31" s="33"/>
      <c r="D31" s="33"/>
      <c r="E31" s="33"/>
      <c r="F31" s="33"/>
      <c r="G31" s="33"/>
      <c r="H31" s="33"/>
      <c r="I31" s="33"/>
      <c r="J31" s="33"/>
      <c r="K31" s="34"/>
      <c r="L31" s="22"/>
    </row>
    <row r="32" spans="1:12" ht="18.75" x14ac:dyDescent="0.3">
      <c r="A32" s="21">
        <v>202526021</v>
      </c>
      <c r="B32" s="32" t="s">
        <v>193</v>
      </c>
      <c r="C32" s="33"/>
      <c r="D32" s="33"/>
      <c r="E32" s="33"/>
      <c r="F32" s="33"/>
      <c r="G32" s="33"/>
      <c r="H32" s="33"/>
      <c r="I32" s="33"/>
      <c r="J32" s="33"/>
      <c r="K32" s="34"/>
      <c r="L32" s="22"/>
    </row>
    <row r="33" spans="1:12" ht="18.75" x14ac:dyDescent="0.3">
      <c r="A33" s="21">
        <v>202526022</v>
      </c>
      <c r="B33" s="32" t="s">
        <v>194</v>
      </c>
      <c r="C33" s="33"/>
      <c r="D33" s="33"/>
      <c r="E33" s="33"/>
      <c r="F33" s="33"/>
      <c r="G33" s="33"/>
      <c r="H33" s="33"/>
      <c r="I33" s="33"/>
      <c r="J33" s="33"/>
      <c r="K33" s="34"/>
      <c r="L33" s="22"/>
    </row>
    <row r="34" spans="1:12" ht="18.75" x14ac:dyDescent="0.3">
      <c r="A34" s="21">
        <v>202526023</v>
      </c>
      <c r="B34" s="32" t="s">
        <v>195</v>
      </c>
      <c r="C34" s="33"/>
      <c r="D34" s="33"/>
      <c r="E34" s="33"/>
      <c r="F34" s="33"/>
      <c r="G34" s="33"/>
      <c r="H34" s="33"/>
      <c r="I34" s="33"/>
      <c r="J34" s="33"/>
      <c r="K34" s="34"/>
      <c r="L34" s="22"/>
    </row>
    <row r="35" spans="1:12" ht="18.75" x14ac:dyDescent="0.3">
      <c r="A35" s="21">
        <v>202526024</v>
      </c>
      <c r="B35" s="32" t="s">
        <v>196</v>
      </c>
      <c r="C35" s="33"/>
      <c r="D35" s="33"/>
      <c r="E35" s="33"/>
      <c r="F35" s="33"/>
      <c r="G35" s="33"/>
      <c r="H35" s="33"/>
      <c r="I35" s="33"/>
      <c r="J35" s="33"/>
      <c r="K35" s="34"/>
      <c r="L35" s="22"/>
    </row>
    <row r="36" spans="1:12" ht="18.75" x14ac:dyDescent="0.3">
      <c r="A36" s="21">
        <v>202526025</v>
      </c>
      <c r="B36" s="32" t="s">
        <v>197</v>
      </c>
      <c r="C36" s="33"/>
      <c r="D36" s="33"/>
      <c r="E36" s="33"/>
      <c r="F36" s="33"/>
      <c r="G36" s="33"/>
      <c r="H36" s="33"/>
      <c r="I36" s="33"/>
      <c r="J36" s="33"/>
      <c r="K36" s="34"/>
      <c r="L36" s="22"/>
    </row>
    <row r="37" spans="1:12" ht="18.75" x14ac:dyDescent="0.3">
      <c r="A37" s="21">
        <v>202526026</v>
      </c>
      <c r="B37" s="32" t="s">
        <v>198</v>
      </c>
      <c r="C37" s="33"/>
      <c r="D37" s="33"/>
      <c r="E37" s="33"/>
      <c r="F37" s="33"/>
      <c r="G37" s="33"/>
      <c r="H37" s="33"/>
      <c r="I37" s="33"/>
      <c r="J37" s="33"/>
      <c r="K37" s="34"/>
      <c r="L37" s="22"/>
    </row>
    <row r="38" spans="1:12" ht="18.75" x14ac:dyDescent="0.3">
      <c r="A38" s="21">
        <v>202526027</v>
      </c>
      <c r="B38" s="29" t="s">
        <v>199</v>
      </c>
      <c r="C38" s="30"/>
      <c r="D38" s="30"/>
      <c r="E38" s="30"/>
      <c r="F38" s="30"/>
      <c r="G38" s="30"/>
      <c r="H38" s="30"/>
      <c r="I38" s="30"/>
      <c r="J38" s="30"/>
      <c r="K38" s="31"/>
      <c r="L38" s="22"/>
    </row>
    <row r="39" spans="1:12" ht="18.75" x14ac:dyDescent="0.3">
      <c r="A39" s="21">
        <v>202526028</v>
      </c>
      <c r="B39" s="29" t="s">
        <v>200</v>
      </c>
      <c r="C39" s="30"/>
      <c r="D39" s="30"/>
      <c r="E39" s="30"/>
      <c r="F39" s="30"/>
      <c r="G39" s="30"/>
      <c r="H39" s="30"/>
      <c r="I39" s="30"/>
      <c r="J39" s="30"/>
      <c r="K39" s="31"/>
      <c r="L39" s="22"/>
    </row>
    <row r="40" spans="1:12" ht="18.75" x14ac:dyDescent="0.3">
      <c r="A40" s="21">
        <v>202526029</v>
      </c>
      <c r="B40" s="29" t="s">
        <v>201</v>
      </c>
      <c r="C40" s="30"/>
      <c r="D40" s="30"/>
      <c r="E40" s="30"/>
      <c r="F40" s="30"/>
      <c r="G40" s="30"/>
      <c r="H40" s="30"/>
      <c r="I40" s="30"/>
      <c r="J40" s="30"/>
      <c r="K40" s="31"/>
      <c r="L40" s="22"/>
    </row>
    <row r="41" spans="1:12" ht="18.75" x14ac:dyDescent="0.3">
      <c r="A41" s="21">
        <v>202526030</v>
      </c>
      <c r="B41" s="29" t="s">
        <v>202</v>
      </c>
      <c r="C41" s="30"/>
      <c r="D41" s="30"/>
      <c r="E41" s="30"/>
      <c r="F41" s="30"/>
      <c r="G41" s="30"/>
      <c r="H41" s="30"/>
      <c r="I41" s="30"/>
      <c r="J41" s="30"/>
      <c r="K41" s="31"/>
      <c r="L41" s="22"/>
    </row>
    <row r="42" spans="1:12" ht="18.75" x14ac:dyDescent="0.3">
      <c r="A42" s="21">
        <v>202526031</v>
      </c>
      <c r="B42" s="29" t="s">
        <v>203</v>
      </c>
      <c r="C42" s="30"/>
      <c r="D42" s="30"/>
      <c r="E42" s="30"/>
      <c r="F42" s="30"/>
      <c r="G42" s="30"/>
      <c r="H42" s="30"/>
      <c r="I42" s="30"/>
      <c r="J42" s="30"/>
      <c r="K42" s="31"/>
      <c r="L42" s="22"/>
    </row>
    <row r="43" spans="1:12" ht="18.75" x14ac:dyDescent="0.3">
      <c r="A43" s="21">
        <v>202526032</v>
      </c>
      <c r="B43" s="29" t="s">
        <v>204</v>
      </c>
      <c r="C43" s="30"/>
      <c r="D43" s="30"/>
      <c r="E43" s="30"/>
      <c r="F43" s="30"/>
      <c r="G43" s="30"/>
      <c r="H43" s="30"/>
      <c r="I43" s="30"/>
      <c r="J43" s="30"/>
      <c r="K43" s="31"/>
      <c r="L43" s="22"/>
    </row>
    <row r="44" spans="1:12" ht="18.75" x14ac:dyDescent="0.3">
      <c r="A44" s="21">
        <v>202526033</v>
      </c>
      <c r="B44" s="29" t="s">
        <v>205</v>
      </c>
      <c r="C44" s="30"/>
      <c r="D44" s="30"/>
      <c r="E44" s="30"/>
      <c r="F44" s="30"/>
      <c r="G44" s="30"/>
      <c r="H44" s="30"/>
      <c r="I44" s="30"/>
      <c r="J44" s="30"/>
      <c r="K44" s="31"/>
      <c r="L44" s="22"/>
    </row>
    <row r="45" spans="1:12" ht="18.75" x14ac:dyDescent="0.3">
      <c r="A45" s="21">
        <v>202526034</v>
      </c>
      <c r="B45" s="29" t="s">
        <v>206</v>
      </c>
      <c r="C45" s="30"/>
      <c r="D45" s="30"/>
      <c r="E45" s="30"/>
      <c r="F45" s="30"/>
      <c r="G45" s="30"/>
      <c r="H45" s="30"/>
      <c r="I45" s="30"/>
      <c r="J45" s="30"/>
      <c r="K45" s="31"/>
      <c r="L45" s="22"/>
    </row>
    <row r="46" spans="1:12" ht="18.75" x14ac:dyDescent="0.3">
      <c r="A46" s="21">
        <v>202526035</v>
      </c>
      <c r="B46" s="29" t="s">
        <v>207</v>
      </c>
      <c r="C46" s="30"/>
      <c r="D46" s="30"/>
      <c r="E46" s="30"/>
      <c r="F46" s="30"/>
      <c r="G46" s="30"/>
      <c r="H46" s="30"/>
      <c r="I46" s="30"/>
      <c r="J46" s="30"/>
      <c r="K46" s="31"/>
      <c r="L46" s="22"/>
    </row>
    <row r="47" spans="1:12" ht="18.75" x14ac:dyDescent="0.3">
      <c r="A47" s="21">
        <v>202526036</v>
      </c>
      <c r="B47" s="29" t="s">
        <v>208</v>
      </c>
      <c r="C47" s="30"/>
      <c r="D47" s="30"/>
      <c r="E47" s="30"/>
      <c r="F47" s="30"/>
      <c r="G47" s="30"/>
      <c r="H47" s="30"/>
      <c r="I47" s="30"/>
      <c r="J47" s="30"/>
      <c r="K47" s="31"/>
      <c r="L47" s="22"/>
    </row>
    <row r="48" spans="1:12" ht="18.75" x14ac:dyDescent="0.3">
      <c r="A48" s="21">
        <v>202526037</v>
      </c>
      <c r="B48" s="29" t="s">
        <v>209</v>
      </c>
      <c r="C48" s="30"/>
      <c r="D48" s="30"/>
      <c r="E48" s="30"/>
      <c r="F48" s="30"/>
      <c r="G48" s="30"/>
      <c r="H48" s="30"/>
      <c r="I48" s="30"/>
      <c r="J48" s="30"/>
      <c r="K48" s="31"/>
      <c r="L48" s="22"/>
    </row>
    <row r="49" spans="1:12" ht="18.75" x14ac:dyDescent="0.3">
      <c r="A49" s="21">
        <v>202526038</v>
      </c>
      <c r="B49" s="29" t="s">
        <v>210</v>
      </c>
      <c r="C49" s="30"/>
      <c r="D49" s="30"/>
      <c r="E49" s="30"/>
      <c r="F49" s="30"/>
      <c r="G49" s="30"/>
      <c r="H49" s="30"/>
      <c r="I49" s="30"/>
      <c r="J49" s="30"/>
      <c r="K49" s="31"/>
      <c r="L49" s="22"/>
    </row>
    <row r="50" spans="1:12" ht="18.75" x14ac:dyDescent="0.3">
      <c r="A50" s="21">
        <v>202526039</v>
      </c>
      <c r="B50" s="29" t="s">
        <v>211</v>
      </c>
      <c r="C50" s="30"/>
      <c r="D50" s="30"/>
      <c r="E50" s="30"/>
      <c r="F50" s="30"/>
      <c r="G50" s="30"/>
      <c r="H50" s="30"/>
      <c r="I50" s="30"/>
      <c r="J50" s="30"/>
      <c r="K50" s="31"/>
      <c r="L50" s="22"/>
    </row>
    <row r="51" spans="1:12" ht="18.75" x14ac:dyDescent="0.3">
      <c r="A51" s="21">
        <v>202526040</v>
      </c>
      <c r="B51" s="29" t="s">
        <v>212</v>
      </c>
      <c r="C51" s="30"/>
      <c r="D51" s="30"/>
      <c r="E51" s="30"/>
      <c r="F51" s="30"/>
      <c r="G51" s="30"/>
      <c r="H51" s="30"/>
      <c r="I51" s="30"/>
      <c r="J51" s="30"/>
      <c r="K51" s="31"/>
      <c r="L51" s="22"/>
    </row>
    <row r="52" spans="1:12" ht="18.75" x14ac:dyDescent="0.3">
      <c r="A52" s="21">
        <v>202526041</v>
      </c>
      <c r="B52" s="29" t="s">
        <v>213</v>
      </c>
      <c r="C52" s="30"/>
      <c r="D52" s="30"/>
      <c r="E52" s="30"/>
      <c r="F52" s="30"/>
      <c r="G52" s="30"/>
      <c r="H52" s="30"/>
      <c r="I52" s="30"/>
      <c r="J52" s="30"/>
      <c r="K52" s="31"/>
      <c r="L52" s="22"/>
    </row>
    <row r="53" spans="1:12" ht="18.75" x14ac:dyDescent="0.3">
      <c r="A53" s="21">
        <v>202526042</v>
      </c>
      <c r="B53" s="29" t="s">
        <v>214</v>
      </c>
      <c r="C53" s="30"/>
      <c r="D53" s="30"/>
      <c r="E53" s="30"/>
      <c r="F53" s="30"/>
      <c r="G53" s="30"/>
      <c r="H53" s="30"/>
      <c r="I53" s="30"/>
      <c r="J53" s="30"/>
      <c r="K53" s="31"/>
      <c r="L53" s="22"/>
    </row>
    <row r="54" spans="1:12" ht="18.75" x14ac:dyDescent="0.3">
      <c r="A54" s="21">
        <v>202526043</v>
      </c>
      <c r="B54" s="29" t="s">
        <v>215</v>
      </c>
      <c r="C54" s="30"/>
      <c r="D54" s="30"/>
      <c r="E54" s="30"/>
      <c r="F54" s="30"/>
      <c r="G54" s="30"/>
      <c r="H54" s="30"/>
      <c r="I54" s="30"/>
      <c r="J54" s="30"/>
      <c r="K54" s="31"/>
      <c r="L54" s="22"/>
    </row>
    <row r="55" spans="1:12" ht="18.75" x14ac:dyDescent="0.3">
      <c r="A55" s="21">
        <v>202526044</v>
      </c>
      <c r="B55" s="29" t="s">
        <v>216</v>
      </c>
      <c r="C55" s="30"/>
      <c r="D55" s="30"/>
      <c r="E55" s="30"/>
      <c r="F55" s="30"/>
      <c r="G55" s="30"/>
      <c r="H55" s="30"/>
      <c r="I55" s="30"/>
      <c r="J55" s="30"/>
      <c r="K55" s="31"/>
      <c r="L55" s="22"/>
    </row>
    <row r="56" spans="1:12" ht="18.75" x14ac:dyDescent="0.3">
      <c r="A56" s="21">
        <v>202526045</v>
      </c>
      <c r="B56" s="29" t="s">
        <v>217</v>
      </c>
      <c r="C56" s="30"/>
      <c r="D56" s="30"/>
      <c r="E56" s="30"/>
      <c r="F56" s="30"/>
      <c r="G56" s="30"/>
      <c r="H56" s="30"/>
      <c r="I56" s="30"/>
      <c r="J56" s="30"/>
      <c r="K56" s="31"/>
      <c r="L56" s="22"/>
    </row>
    <row r="57" spans="1:12" ht="18.75" x14ac:dyDescent="0.3">
      <c r="A57" s="21">
        <v>202526046</v>
      </c>
      <c r="B57" s="29" t="s">
        <v>218</v>
      </c>
      <c r="C57" s="30"/>
      <c r="D57" s="30"/>
      <c r="E57" s="30"/>
      <c r="F57" s="30"/>
      <c r="G57" s="30"/>
      <c r="H57" s="30"/>
      <c r="I57" s="30"/>
      <c r="J57" s="30"/>
      <c r="K57" s="31"/>
      <c r="L57" s="22"/>
    </row>
    <row r="58" spans="1:12" ht="18.75" x14ac:dyDescent="0.3">
      <c r="A58" s="21">
        <v>202526047</v>
      </c>
      <c r="B58" s="29" t="s">
        <v>219</v>
      </c>
      <c r="C58" s="30"/>
      <c r="D58" s="30"/>
      <c r="E58" s="30"/>
      <c r="F58" s="30"/>
      <c r="G58" s="30"/>
      <c r="H58" s="30"/>
      <c r="I58" s="30"/>
      <c r="J58" s="30"/>
      <c r="K58" s="31"/>
      <c r="L58" s="22"/>
    </row>
    <row r="59" spans="1:12" ht="18.75" x14ac:dyDescent="0.3">
      <c r="A59" s="21">
        <v>202526048</v>
      </c>
      <c r="B59" s="29" t="s">
        <v>220</v>
      </c>
      <c r="C59" s="30"/>
      <c r="D59" s="30"/>
      <c r="E59" s="30"/>
      <c r="F59" s="30"/>
      <c r="G59" s="30"/>
      <c r="H59" s="30"/>
      <c r="I59" s="30"/>
      <c r="J59" s="30"/>
      <c r="K59" s="31"/>
      <c r="L59" s="22"/>
    </row>
    <row r="60" spans="1:12" ht="18.75" x14ac:dyDescent="0.3">
      <c r="A60" s="21">
        <v>202526049</v>
      </c>
      <c r="B60" s="29" t="s">
        <v>221</v>
      </c>
      <c r="C60" s="30"/>
      <c r="D60" s="30"/>
      <c r="E60" s="30"/>
      <c r="F60" s="30"/>
      <c r="G60" s="30"/>
      <c r="H60" s="30"/>
      <c r="I60" s="30"/>
      <c r="J60" s="30"/>
      <c r="K60" s="31"/>
      <c r="L60" s="22"/>
    </row>
    <row r="61" spans="1:12" ht="18.75" x14ac:dyDescent="0.3">
      <c r="A61" s="21">
        <v>202526050</v>
      </c>
      <c r="B61" s="29" t="s">
        <v>222</v>
      </c>
      <c r="C61" s="30"/>
      <c r="D61" s="30"/>
      <c r="E61" s="30"/>
      <c r="F61" s="30"/>
      <c r="G61" s="30"/>
      <c r="H61" s="30"/>
      <c r="I61" s="30"/>
      <c r="J61" s="30"/>
      <c r="K61" s="31"/>
      <c r="L61" s="22"/>
    </row>
    <row r="62" spans="1:12" ht="18.75" x14ac:dyDescent="0.3">
      <c r="A62" s="21">
        <v>202526051</v>
      </c>
      <c r="B62" s="29" t="s">
        <v>223</v>
      </c>
      <c r="C62" s="30"/>
      <c r="D62" s="30"/>
      <c r="E62" s="30"/>
      <c r="F62" s="30"/>
      <c r="G62" s="30"/>
      <c r="H62" s="30"/>
      <c r="I62" s="30"/>
      <c r="J62" s="30"/>
      <c r="K62" s="31"/>
      <c r="L62" s="22"/>
    </row>
    <row r="63" spans="1:12" ht="18.75" x14ac:dyDescent="0.3">
      <c r="A63" s="21">
        <v>202526052</v>
      </c>
      <c r="B63" s="29" t="s">
        <v>224</v>
      </c>
      <c r="C63" s="30"/>
      <c r="D63" s="30"/>
      <c r="E63" s="30"/>
      <c r="F63" s="30"/>
      <c r="G63" s="30"/>
      <c r="H63" s="30"/>
      <c r="I63" s="30"/>
      <c r="J63" s="30"/>
      <c r="K63" s="31"/>
      <c r="L63" s="22"/>
    </row>
    <row r="64" spans="1:12" ht="18.75" x14ac:dyDescent="0.3">
      <c r="A64" s="21">
        <v>202526053</v>
      </c>
      <c r="B64" s="29" t="s">
        <v>225</v>
      </c>
      <c r="C64" s="30"/>
      <c r="D64" s="30"/>
      <c r="E64" s="30"/>
      <c r="F64" s="30"/>
      <c r="G64" s="30"/>
      <c r="H64" s="30"/>
      <c r="I64" s="30"/>
      <c r="J64" s="30"/>
      <c r="K64" s="31"/>
      <c r="L64" s="22"/>
    </row>
    <row r="65" spans="1:12" ht="18.75" x14ac:dyDescent="0.3">
      <c r="A65" s="21">
        <v>202526054</v>
      </c>
      <c r="B65" s="29" t="s">
        <v>226</v>
      </c>
      <c r="C65" s="30"/>
      <c r="D65" s="30"/>
      <c r="E65" s="30"/>
      <c r="F65" s="30"/>
      <c r="G65" s="30"/>
      <c r="H65" s="30"/>
      <c r="I65" s="30"/>
      <c r="J65" s="30"/>
      <c r="K65" s="31"/>
      <c r="L65" s="22"/>
    </row>
    <row r="66" spans="1:12" ht="18.75" x14ac:dyDescent="0.3">
      <c r="A66" s="21">
        <v>202526055</v>
      </c>
      <c r="B66" s="29" t="s">
        <v>227</v>
      </c>
      <c r="C66" s="30"/>
      <c r="D66" s="30"/>
      <c r="E66" s="30"/>
      <c r="F66" s="30"/>
      <c r="G66" s="30"/>
      <c r="H66" s="30"/>
      <c r="I66" s="30"/>
      <c r="J66" s="30"/>
      <c r="K66" s="31"/>
      <c r="L66" s="22"/>
    </row>
    <row r="67" spans="1:12" ht="18.75" x14ac:dyDescent="0.3">
      <c r="A67" s="21">
        <v>202526056</v>
      </c>
      <c r="B67" s="29" t="s">
        <v>228</v>
      </c>
      <c r="C67" s="30"/>
      <c r="D67" s="30"/>
      <c r="E67" s="30"/>
      <c r="F67" s="30"/>
      <c r="G67" s="30"/>
      <c r="H67" s="30"/>
      <c r="I67" s="30"/>
      <c r="J67" s="30"/>
      <c r="K67" s="31"/>
      <c r="L67" s="22"/>
    </row>
    <row r="68" spans="1:12" ht="18.75" x14ac:dyDescent="0.3">
      <c r="A68" s="21">
        <v>202526057</v>
      </c>
      <c r="B68" s="29" t="s">
        <v>229</v>
      </c>
      <c r="C68" s="30"/>
      <c r="D68" s="30"/>
      <c r="E68" s="30"/>
      <c r="F68" s="30"/>
      <c r="G68" s="30"/>
      <c r="H68" s="30"/>
      <c r="I68" s="30"/>
      <c r="J68" s="30"/>
      <c r="K68" s="31"/>
      <c r="L68" s="22"/>
    </row>
    <row r="69" spans="1:12" ht="18.75" x14ac:dyDescent="0.3">
      <c r="A69" s="21">
        <v>202526058</v>
      </c>
      <c r="B69" s="29" t="s">
        <v>230</v>
      </c>
      <c r="C69" s="30"/>
      <c r="D69" s="30"/>
      <c r="E69" s="30"/>
      <c r="F69" s="30"/>
      <c r="G69" s="30"/>
      <c r="H69" s="30"/>
      <c r="I69" s="30"/>
      <c r="J69" s="30"/>
      <c r="K69" s="31"/>
      <c r="L69" s="22"/>
    </row>
    <row r="70" spans="1:12" ht="18.75" x14ac:dyDescent="0.3">
      <c r="A70" s="21">
        <v>202526059</v>
      </c>
      <c r="B70" s="29" t="s">
        <v>231</v>
      </c>
      <c r="C70" s="30"/>
      <c r="D70" s="30"/>
      <c r="E70" s="30"/>
      <c r="F70" s="30"/>
      <c r="G70" s="30"/>
      <c r="H70" s="30"/>
      <c r="I70" s="30"/>
      <c r="J70" s="30"/>
      <c r="K70" s="31"/>
      <c r="L70" s="22"/>
    </row>
    <row r="71" spans="1:12" ht="18.75" x14ac:dyDescent="0.3">
      <c r="A71" s="21">
        <v>202526060</v>
      </c>
      <c r="B71" s="29" t="s">
        <v>232</v>
      </c>
      <c r="C71" s="30"/>
      <c r="D71" s="30"/>
      <c r="E71" s="30"/>
      <c r="F71" s="30"/>
      <c r="G71" s="30"/>
      <c r="H71" s="30"/>
      <c r="I71" s="30"/>
      <c r="J71" s="30"/>
      <c r="K71" s="31"/>
      <c r="L71" s="22"/>
    </row>
    <row r="72" spans="1:12" ht="18.75" x14ac:dyDescent="0.3">
      <c r="A72" s="21">
        <v>202526061</v>
      </c>
      <c r="B72" s="29" t="s">
        <v>233</v>
      </c>
      <c r="C72" s="30"/>
      <c r="D72" s="30"/>
      <c r="E72" s="30"/>
      <c r="F72" s="30"/>
      <c r="G72" s="30"/>
      <c r="H72" s="30"/>
      <c r="I72" s="30"/>
      <c r="J72" s="30"/>
      <c r="K72" s="31"/>
      <c r="L72" s="22"/>
    </row>
    <row r="73" spans="1:12" ht="18.75" x14ac:dyDescent="0.3">
      <c r="A73" s="21">
        <v>202526062</v>
      </c>
      <c r="B73" s="29" t="s">
        <v>234</v>
      </c>
      <c r="C73" s="30"/>
      <c r="D73" s="30"/>
      <c r="E73" s="30"/>
      <c r="F73" s="30"/>
      <c r="G73" s="30"/>
      <c r="H73" s="30"/>
      <c r="I73" s="30"/>
      <c r="J73" s="30"/>
      <c r="K73" s="31"/>
      <c r="L73" s="22"/>
    </row>
    <row r="74" spans="1:12" ht="18.75" x14ac:dyDescent="0.3">
      <c r="A74" s="21">
        <v>202526063</v>
      </c>
      <c r="B74" s="29" t="s">
        <v>235</v>
      </c>
      <c r="C74" s="30"/>
      <c r="D74" s="30"/>
      <c r="E74" s="30"/>
      <c r="F74" s="30"/>
      <c r="G74" s="30"/>
      <c r="H74" s="30"/>
      <c r="I74" s="30"/>
      <c r="J74" s="30"/>
      <c r="K74" s="31"/>
      <c r="L74" s="22"/>
    </row>
    <row r="75" spans="1:12" ht="18.75" x14ac:dyDescent="0.3">
      <c r="A75" s="21">
        <v>202526064</v>
      </c>
      <c r="B75" s="29" t="s">
        <v>236</v>
      </c>
      <c r="C75" s="30"/>
      <c r="D75" s="30"/>
      <c r="E75" s="30"/>
      <c r="F75" s="30"/>
      <c r="G75" s="30"/>
      <c r="H75" s="30"/>
      <c r="I75" s="30"/>
      <c r="J75" s="30"/>
      <c r="K75" s="31"/>
      <c r="L75" s="22"/>
    </row>
    <row r="76" spans="1:12" ht="18.75" x14ac:dyDescent="0.3">
      <c r="A76" s="21">
        <v>202526065</v>
      </c>
      <c r="B76" s="29" t="s">
        <v>237</v>
      </c>
      <c r="C76" s="30"/>
      <c r="D76" s="30"/>
      <c r="E76" s="30"/>
      <c r="F76" s="30"/>
      <c r="G76" s="30"/>
      <c r="H76" s="30"/>
      <c r="I76" s="30"/>
      <c r="J76" s="30"/>
      <c r="K76" s="31"/>
      <c r="L76" s="22"/>
    </row>
    <row r="77" spans="1:12" ht="18.75" x14ac:dyDescent="0.3">
      <c r="A77" s="21">
        <v>202526066</v>
      </c>
      <c r="B77" s="29" t="s">
        <v>238</v>
      </c>
      <c r="C77" s="30"/>
      <c r="D77" s="30"/>
      <c r="E77" s="30"/>
      <c r="F77" s="30"/>
      <c r="G77" s="30"/>
      <c r="H77" s="30"/>
      <c r="I77" s="30"/>
      <c r="J77" s="30"/>
      <c r="K77" s="31"/>
      <c r="L77" s="22"/>
    </row>
    <row r="78" spans="1:12" ht="18.75" x14ac:dyDescent="0.3">
      <c r="A78" s="21">
        <v>202526067</v>
      </c>
      <c r="B78" s="29" t="s">
        <v>239</v>
      </c>
      <c r="C78" s="30"/>
      <c r="D78" s="30"/>
      <c r="E78" s="30"/>
      <c r="F78" s="30"/>
      <c r="G78" s="30"/>
      <c r="H78" s="30"/>
      <c r="I78" s="30"/>
      <c r="J78" s="30"/>
      <c r="K78" s="31"/>
      <c r="L78" s="22"/>
    </row>
    <row r="79" spans="1:12" ht="18.75" x14ac:dyDescent="0.3">
      <c r="A79" s="21">
        <v>202526068</v>
      </c>
      <c r="B79" s="29" t="s">
        <v>240</v>
      </c>
      <c r="C79" s="30"/>
      <c r="D79" s="30"/>
      <c r="E79" s="30"/>
      <c r="F79" s="30"/>
      <c r="G79" s="30"/>
      <c r="H79" s="30"/>
      <c r="I79" s="30"/>
      <c r="J79" s="30"/>
      <c r="K79" s="31"/>
      <c r="L79" s="22"/>
    </row>
    <row r="80" spans="1:12" ht="18.75" x14ac:dyDescent="0.3">
      <c r="A80" s="21">
        <v>202526069</v>
      </c>
      <c r="B80" s="29" t="s">
        <v>11</v>
      </c>
      <c r="C80" s="30"/>
      <c r="D80" s="30"/>
      <c r="E80" s="30"/>
      <c r="F80" s="30"/>
      <c r="G80" s="30"/>
      <c r="H80" s="30"/>
      <c r="I80" s="30"/>
      <c r="J80" s="30"/>
      <c r="K80" s="31"/>
      <c r="L80" s="22"/>
    </row>
    <row r="81" spans="1:12" ht="18.75" x14ac:dyDescent="0.3">
      <c r="A81" s="21">
        <v>202526070</v>
      </c>
      <c r="B81" s="29" t="s">
        <v>241</v>
      </c>
      <c r="C81" s="30"/>
      <c r="D81" s="30"/>
      <c r="E81" s="30"/>
      <c r="F81" s="30"/>
      <c r="G81" s="30"/>
      <c r="H81" s="30"/>
      <c r="I81" s="30"/>
      <c r="J81" s="30"/>
      <c r="K81" s="31"/>
      <c r="L81" s="22"/>
    </row>
    <row r="82" spans="1:12" ht="18.75" x14ac:dyDescent="0.3">
      <c r="A82" s="21">
        <v>202526071</v>
      </c>
      <c r="B82" s="29" t="s">
        <v>242</v>
      </c>
      <c r="C82" s="30"/>
      <c r="D82" s="30"/>
      <c r="E82" s="30"/>
      <c r="F82" s="30"/>
      <c r="G82" s="30"/>
      <c r="H82" s="30"/>
      <c r="I82" s="30"/>
      <c r="J82" s="30"/>
      <c r="K82" s="31"/>
      <c r="L82" s="22"/>
    </row>
    <row r="83" spans="1:12" ht="18.75" x14ac:dyDescent="0.3">
      <c r="A83" s="21">
        <v>202526072</v>
      </c>
      <c r="B83" s="29" t="s">
        <v>243</v>
      </c>
      <c r="C83" s="30"/>
      <c r="D83" s="30"/>
      <c r="E83" s="30"/>
      <c r="F83" s="30"/>
      <c r="G83" s="30"/>
      <c r="H83" s="30"/>
      <c r="I83" s="30"/>
      <c r="J83" s="30"/>
      <c r="K83" s="31"/>
      <c r="L83" s="22"/>
    </row>
    <row r="84" spans="1:12" ht="18.75" x14ac:dyDescent="0.3">
      <c r="A84" s="21">
        <v>202526073</v>
      </c>
      <c r="B84" s="29" t="s">
        <v>244</v>
      </c>
      <c r="C84" s="30"/>
      <c r="D84" s="30"/>
      <c r="E84" s="30"/>
      <c r="F84" s="30"/>
      <c r="G84" s="30"/>
      <c r="H84" s="30"/>
      <c r="I84" s="30"/>
      <c r="J84" s="30"/>
      <c r="K84" s="31"/>
      <c r="L84" s="22"/>
    </row>
    <row r="85" spans="1:12" ht="18.75" x14ac:dyDescent="0.3">
      <c r="A85" s="21">
        <v>202526074</v>
      </c>
      <c r="B85" s="29" t="s">
        <v>245</v>
      </c>
      <c r="C85" s="30"/>
      <c r="D85" s="30"/>
      <c r="E85" s="30"/>
      <c r="F85" s="30"/>
      <c r="G85" s="30"/>
      <c r="H85" s="30"/>
      <c r="I85" s="30"/>
      <c r="J85" s="30"/>
      <c r="K85" s="31"/>
      <c r="L85" s="22"/>
    </row>
    <row r="86" spans="1:12" ht="18.75" x14ac:dyDescent="0.3">
      <c r="A86" s="21">
        <v>202526075</v>
      </c>
      <c r="B86" s="29" t="s">
        <v>246</v>
      </c>
      <c r="C86" s="30"/>
      <c r="D86" s="30"/>
      <c r="E86" s="30"/>
      <c r="F86" s="30"/>
      <c r="G86" s="30"/>
      <c r="H86" s="30"/>
      <c r="I86" s="30"/>
      <c r="J86" s="30"/>
      <c r="K86" s="31"/>
      <c r="L86" s="22"/>
    </row>
    <row r="87" spans="1:12" ht="18.75" x14ac:dyDescent="0.3">
      <c r="A87" s="21">
        <v>202526076</v>
      </c>
      <c r="B87" s="29" t="s">
        <v>247</v>
      </c>
      <c r="C87" s="30"/>
      <c r="D87" s="30"/>
      <c r="E87" s="30"/>
      <c r="F87" s="30"/>
      <c r="G87" s="30"/>
      <c r="H87" s="30"/>
      <c r="I87" s="30"/>
      <c r="J87" s="30"/>
      <c r="K87" s="31"/>
      <c r="L87" s="22"/>
    </row>
    <row r="88" spans="1:12" ht="18.75" x14ac:dyDescent="0.3">
      <c r="A88" s="21">
        <v>202526077</v>
      </c>
      <c r="B88" s="29" t="s">
        <v>248</v>
      </c>
      <c r="C88" s="30"/>
      <c r="D88" s="30"/>
      <c r="E88" s="30"/>
      <c r="F88" s="30"/>
      <c r="G88" s="30"/>
      <c r="H88" s="30"/>
      <c r="I88" s="30"/>
      <c r="J88" s="30"/>
      <c r="K88" s="31"/>
      <c r="L88" s="22"/>
    </row>
    <row r="89" spans="1:12" ht="18.75" x14ac:dyDescent="0.3">
      <c r="A89" s="21">
        <v>202526078</v>
      </c>
      <c r="B89" s="29" t="s">
        <v>249</v>
      </c>
      <c r="C89" s="30"/>
      <c r="D89" s="30"/>
      <c r="E89" s="30"/>
      <c r="F89" s="30"/>
      <c r="G89" s="30"/>
      <c r="H89" s="30"/>
      <c r="I89" s="30"/>
      <c r="J89" s="30"/>
      <c r="K89" s="31"/>
      <c r="L89" s="22"/>
    </row>
    <row r="90" spans="1:12" ht="18.75" x14ac:dyDescent="0.3">
      <c r="A90" s="21">
        <v>202526079</v>
      </c>
      <c r="B90" s="29" t="s">
        <v>250</v>
      </c>
      <c r="C90" s="30"/>
      <c r="D90" s="30"/>
      <c r="E90" s="30"/>
      <c r="F90" s="30"/>
      <c r="G90" s="30"/>
      <c r="H90" s="30"/>
      <c r="I90" s="30"/>
      <c r="J90" s="30"/>
      <c r="K90" s="31"/>
      <c r="L90" s="22"/>
    </row>
    <row r="91" spans="1:12" ht="18.75" x14ac:dyDescent="0.3">
      <c r="A91" s="21">
        <v>202526080</v>
      </c>
      <c r="B91" s="29" t="s">
        <v>251</v>
      </c>
      <c r="C91" s="30"/>
      <c r="D91" s="30"/>
      <c r="E91" s="30"/>
      <c r="F91" s="30"/>
      <c r="G91" s="30"/>
      <c r="H91" s="30"/>
      <c r="I91" s="30"/>
      <c r="J91" s="30"/>
      <c r="K91" s="31"/>
      <c r="L91" s="22"/>
    </row>
    <row r="92" spans="1:12" ht="18.75" x14ac:dyDescent="0.3">
      <c r="A92" s="21">
        <v>202526081</v>
      </c>
      <c r="B92" s="29" t="s">
        <v>252</v>
      </c>
      <c r="C92" s="30"/>
      <c r="D92" s="30"/>
      <c r="E92" s="30"/>
      <c r="F92" s="30"/>
      <c r="G92" s="30"/>
      <c r="H92" s="30"/>
      <c r="I92" s="30"/>
      <c r="J92" s="30"/>
      <c r="K92" s="31"/>
      <c r="L92" s="22"/>
    </row>
    <row r="93" spans="1:12" ht="18.75" x14ac:dyDescent="0.3">
      <c r="A93" s="21">
        <v>202526082</v>
      </c>
      <c r="B93" s="29" t="s">
        <v>10</v>
      </c>
      <c r="C93" s="30"/>
      <c r="D93" s="30"/>
      <c r="E93" s="30"/>
      <c r="F93" s="30"/>
      <c r="G93" s="30"/>
      <c r="H93" s="30"/>
      <c r="I93" s="30"/>
      <c r="J93" s="30"/>
      <c r="K93" s="31"/>
      <c r="L93" s="22"/>
    </row>
    <row r="94" spans="1:12" ht="18.75" x14ac:dyDescent="0.3">
      <c r="A94" s="21">
        <v>202526083</v>
      </c>
      <c r="B94" s="29" t="s">
        <v>253</v>
      </c>
      <c r="C94" s="30"/>
      <c r="D94" s="30"/>
      <c r="E94" s="30"/>
      <c r="F94" s="30"/>
      <c r="G94" s="30"/>
      <c r="H94" s="30"/>
      <c r="I94" s="30"/>
      <c r="J94" s="30"/>
      <c r="K94" s="31"/>
      <c r="L94" s="22"/>
    </row>
    <row r="95" spans="1:12" ht="18.75" x14ac:dyDescent="0.3">
      <c r="A95" s="21">
        <v>202526084</v>
      </c>
      <c r="B95" s="29" t="s">
        <v>254</v>
      </c>
      <c r="C95" s="30"/>
      <c r="D95" s="30"/>
      <c r="E95" s="30"/>
      <c r="F95" s="30"/>
      <c r="G95" s="30"/>
      <c r="H95" s="30"/>
      <c r="I95" s="30"/>
      <c r="J95" s="30"/>
      <c r="K95" s="31"/>
      <c r="L95" s="22"/>
    </row>
    <row r="96" spans="1:12" ht="18.75" x14ac:dyDescent="0.3">
      <c r="A96" s="21">
        <v>202526085</v>
      </c>
      <c r="B96" s="29" t="s">
        <v>255</v>
      </c>
      <c r="C96" s="30"/>
      <c r="D96" s="30"/>
      <c r="E96" s="30"/>
      <c r="F96" s="30"/>
      <c r="G96" s="30"/>
      <c r="H96" s="30"/>
      <c r="I96" s="30"/>
      <c r="J96" s="30"/>
      <c r="K96" s="31"/>
      <c r="L96" s="22"/>
    </row>
    <row r="97" spans="1:12" ht="18.75" x14ac:dyDescent="0.3">
      <c r="A97" s="21">
        <v>202526086</v>
      </c>
      <c r="B97" s="29" t="s">
        <v>256</v>
      </c>
      <c r="C97" s="30"/>
      <c r="D97" s="30"/>
      <c r="E97" s="30"/>
      <c r="F97" s="30"/>
      <c r="G97" s="30"/>
      <c r="H97" s="30"/>
      <c r="I97" s="30"/>
      <c r="J97" s="30"/>
      <c r="K97" s="31"/>
      <c r="L97" s="22"/>
    </row>
    <row r="98" spans="1:12" ht="18.75" x14ac:dyDescent="0.3">
      <c r="A98" s="21">
        <v>202526087</v>
      </c>
      <c r="B98" s="29" t="s">
        <v>257</v>
      </c>
      <c r="C98" s="30"/>
      <c r="D98" s="30"/>
      <c r="E98" s="30"/>
      <c r="F98" s="30"/>
      <c r="G98" s="30"/>
      <c r="H98" s="30"/>
      <c r="I98" s="30"/>
      <c r="J98" s="30"/>
      <c r="K98" s="31"/>
      <c r="L98" s="22"/>
    </row>
    <row r="99" spans="1:12" ht="18.75" x14ac:dyDescent="0.3">
      <c r="A99" s="21">
        <v>202526088</v>
      </c>
      <c r="B99" s="29" t="s">
        <v>258</v>
      </c>
      <c r="C99" s="30"/>
      <c r="D99" s="30"/>
      <c r="E99" s="30"/>
      <c r="F99" s="30"/>
      <c r="G99" s="30"/>
      <c r="H99" s="30"/>
      <c r="I99" s="30"/>
      <c r="J99" s="30"/>
      <c r="K99" s="31"/>
      <c r="L99" s="22"/>
    </row>
    <row r="100" spans="1:12" ht="18.75" x14ac:dyDescent="0.3">
      <c r="A100" s="21">
        <v>202526089</v>
      </c>
      <c r="B100" s="29" t="s">
        <v>259</v>
      </c>
      <c r="C100" s="30"/>
      <c r="D100" s="30"/>
      <c r="E100" s="30"/>
      <c r="F100" s="30"/>
      <c r="G100" s="30"/>
      <c r="H100" s="30"/>
      <c r="I100" s="30"/>
      <c r="J100" s="30"/>
      <c r="K100" s="31"/>
      <c r="L100" s="22"/>
    </row>
    <row r="101" spans="1:12" ht="18.75" x14ac:dyDescent="0.3">
      <c r="A101" s="21">
        <v>202526090</v>
      </c>
      <c r="B101" s="32" t="s">
        <v>260</v>
      </c>
      <c r="C101" s="33"/>
      <c r="D101" s="33"/>
      <c r="E101" s="33"/>
      <c r="F101" s="33"/>
      <c r="G101" s="33"/>
      <c r="H101" s="33"/>
      <c r="I101" s="33"/>
      <c r="J101" s="33"/>
      <c r="K101" s="34"/>
      <c r="L101" s="22"/>
    </row>
    <row r="102" spans="1:12" ht="18.75" x14ac:dyDescent="0.3">
      <c r="A102" s="21">
        <v>202526091</v>
      </c>
      <c r="B102" s="32" t="s">
        <v>261</v>
      </c>
      <c r="C102" s="33"/>
      <c r="D102" s="33"/>
      <c r="E102" s="33"/>
      <c r="F102" s="33"/>
      <c r="G102" s="33"/>
      <c r="H102" s="33"/>
      <c r="I102" s="33"/>
      <c r="J102" s="33"/>
      <c r="K102" s="34"/>
      <c r="L102" s="22"/>
    </row>
    <row r="103" spans="1:12" ht="18.75" x14ac:dyDescent="0.3">
      <c r="A103" s="21">
        <v>202526092</v>
      </c>
      <c r="B103" s="29" t="s">
        <v>262</v>
      </c>
      <c r="C103" s="30"/>
      <c r="D103" s="30"/>
      <c r="E103" s="30"/>
      <c r="F103" s="30"/>
      <c r="G103" s="30"/>
      <c r="H103" s="30"/>
      <c r="I103" s="30"/>
      <c r="J103" s="30"/>
      <c r="K103" s="31"/>
      <c r="L103" s="22"/>
    </row>
    <row r="104" spans="1:12" ht="18.75" x14ac:dyDescent="0.3">
      <c r="A104" s="21">
        <v>202526093</v>
      </c>
      <c r="B104" s="29" t="s">
        <v>263</v>
      </c>
      <c r="C104" s="30"/>
      <c r="D104" s="30"/>
      <c r="E104" s="30"/>
      <c r="F104" s="30"/>
      <c r="G104" s="30"/>
      <c r="H104" s="30"/>
      <c r="I104" s="30"/>
      <c r="J104" s="30"/>
      <c r="K104" s="31"/>
      <c r="L104" s="22"/>
    </row>
    <row r="105" spans="1:12" ht="18.75" x14ac:dyDescent="0.3">
      <c r="A105" s="21">
        <v>202526094</v>
      </c>
      <c r="B105" s="29" t="s">
        <v>264</v>
      </c>
      <c r="C105" s="30"/>
      <c r="D105" s="30"/>
      <c r="E105" s="30"/>
      <c r="F105" s="30"/>
      <c r="G105" s="30"/>
      <c r="H105" s="30"/>
      <c r="I105" s="30"/>
      <c r="J105" s="30"/>
      <c r="K105" s="31"/>
      <c r="L105" s="22"/>
    </row>
    <row r="106" spans="1:12" ht="18.75" x14ac:dyDescent="0.3">
      <c r="A106" s="21"/>
      <c r="B106" s="32"/>
      <c r="C106" s="33"/>
      <c r="D106" s="33"/>
      <c r="E106" s="33"/>
      <c r="F106" s="33"/>
      <c r="G106" s="33"/>
      <c r="H106" s="33"/>
      <c r="I106" s="33"/>
      <c r="J106" s="33"/>
      <c r="K106" s="34"/>
      <c r="L106" s="22"/>
    </row>
    <row r="107" spans="1:12" ht="18.75" x14ac:dyDescent="0.3">
      <c r="A107" s="21"/>
      <c r="B107" s="32"/>
      <c r="C107" s="33"/>
      <c r="D107" s="33"/>
      <c r="E107" s="33"/>
      <c r="F107" s="33"/>
      <c r="G107" s="33"/>
      <c r="H107" s="33"/>
      <c r="I107" s="33"/>
      <c r="J107" s="33"/>
      <c r="K107" s="34"/>
      <c r="L107" s="22"/>
    </row>
    <row r="108" spans="1:12" ht="18.75" x14ac:dyDescent="0.3">
      <c r="A108" s="21"/>
      <c r="B108" s="32"/>
      <c r="C108" s="33"/>
      <c r="D108" s="33"/>
      <c r="E108" s="33"/>
      <c r="F108" s="33"/>
      <c r="G108" s="33"/>
      <c r="H108" s="33"/>
      <c r="I108" s="33"/>
      <c r="J108" s="33"/>
      <c r="K108" s="34"/>
      <c r="L108" s="22"/>
    </row>
    <row r="109" spans="1:12" ht="18.75" x14ac:dyDescent="0.3">
      <c r="A109" s="21"/>
      <c r="B109" s="32"/>
      <c r="C109" s="33"/>
      <c r="D109" s="33"/>
      <c r="E109" s="33"/>
      <c r="F109" s="33"/>
      <c r="G109" s="33"/>
      <c r="H109" s="33"/>
      <c r="I109" s="33"/>
      <c r="J109" s="33"/>
      <c r="K109" s="34"/>
      <c r="L109" s="22"/>
    </row>
  </sheetData>
  <sheetProtection algorithmName="SHA-512" hashValue="YS0pidMrgV5lrSHHj59WmGGHGShOEdyreJMbNyzeAXAuGj9EdA3BYmzg5G+CeBM0tHDqXWXJ+CIVmBxMwTMZ/A==" saltValue="F5pNuoMEvkNt1GNSTOYC+w==" spinCount="100000" sheet="1" objects="1" scenarios="1"/>
  <protectedRanges>
    <protectedRange algorithmName="SHA-512" hashValue="rpKtXz4ea6aSt38tZ05JgzQowiK4GrbV71wc+asTmuOYvorK+ch3H8bRLQhAKedZs6xTTIQitijB3WpoZ6Tg2A==" saltValue="XjEFN5DgB+7tb65+qgpKhw==" spinCount="100000" sqref="A5:B8 D5:J6" name="Intervalo4"/>
    <protectedRange algorithmName="SHA-512" hashValue="8iL5tPkpnBAye4kBvXR76ypMyURNz2RY+xUq/MGDPp559sHfD6DrLEiG1itSBBM/stJZHB1hr5XQoI4PwPnCmQ==" saltValue="Lhs7OlMpDrF6e3VQ8X0SVQ==" spinCount="100000" sqref="L1:L11" name="Intervalo3"/>
    <protectedRange algorithmName="SHA-512" hashValue="hoZPjr75tDbU3/TSNhcNdWCxr5FrFeriCQ2HPCrf9vu/FxW12sKg9EbJNmCU8Zf5g+r3VKgnHnj9swtRtG0Ugg==" saltValue="Q8rJ7ATXbq6vhGGIprlJ8g==" spinCount="100000" sqref="A1:L4" name="Intervalo2"/>
    <protectedRange algorithmName="SHA-512" hashValue="7D/Ga2dBxvmjqLTkiiQIwoEa4PLydb7/el4rs/jPTqiCEjVWQ5HrjREvic6zdZjkVK3VrMZh7X02f+eDPJAD/g==" saltValue="loP0d2WLizocZ8c48yLDpg==" spinCount="100000" sqref="A9:K109" name="Intervalo1"/>
  </protectedRanges>
  <mergeCells count="105">
    <mergeCell ref="B105:K105"/>
    <mergeCell ref="B16:K16"/>
    <mergeCell ref="A5:B5"/>
    <mergeCell ref="A6:B6"/>
    <mergeCell ref="B102:K102"/>
    <mergeCell ref="B101:K101"/>
    <mergeCell ref="B100:K100"/>
    <mergeCell ref="B96:K96"/>
    <mergeCell ref="B97:K97"/>
    <mergeCell ref="B98:K98"/>
    <mergeCell ref="B99:K99"/>
    <mergeCell ref="B11:K11"/>
    <mergeCell ref="B12:K12"/>
    <mergeCell ref="B13:K13"/>
    <mergeCell ref="B14:K14"/>
    <mergeCell ref="B15:K15"/>
    <mergeCell ref="B28:K28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6:K26"/>
    <mergeCell ref="B27:K27"/>
    <mergeCell ref="B40:K40"/>
    <mergeCell ref="B29:K29"/>
    <mergeCell ref="B30:K30"/>
    <mergeCell ref="B31:K31"/>
    <mergeCell ref="B32:K32"/>
    <mergeCell ref="B33:K33"/>
    <mergeCell ref="B34:K34"/>
    <mergeCell ref="B35:K35"/>
    <mergeCell ref="B36:K36"/>
    <mergeCell ref="B37:K37"/>
    <mergeCell ref="B38:K38"/>
    <mergeCell ref="B39:K39"/>
    <mergeCell ref="B59:K59"/>
    <mergeCell ref="B60:K60"/>
    <mergeCell ref="B61:K61"/>
    <mergeCell ref="B62:K62"/>
    <mergeCell ref="B63:K63"/>
    <mergeCell ref="B52:K52"/>
    <mergeCell ref="B41:K41"/>
    <mergeCell ref="B42:K42"/>
    <mergeCell ref="B43:K43"/>
    <mergeCell ref="B44:K44"/>
    <mergeCell ref="B45:K45"/>
    <mergeCell ref="B46:K46"/>
    <mergeCell ref="B47:K47"/>
    <mergeCell ref="B48:K48"/>
    <mergeCell ref="B49:K49"/>
    <mergeCell ref="B50:K50"/>
    <mergeCell ref="B51:K51"/>
    <mergeCell ref="B109:K109"/>
    <mergeCell ref="E8:J8"/>
    <mergeCell ref="B89:K89"/>
    <mergeCell ref="B90:K90"/>
    <mergeCell ref="B91:K91"/>
    <mergeCell ref="B92:K92"/>
    <mergeCell ref="B93:K93"/>
    <mergeCell ref="B94:K94"/>
    <mergeCell ref="B83:K83"/>
    <mergeCell ref="B84:K84"/>
    <mergeCell ref="B85:K85"/>
    <mergeCell ref="B86:K86"/>
    <mergeCell ref="B87:K87"/>
    <mergeCell ref="B88:K88"/>
    <mergeCell ref="B76:K76"/>
    <mergeCell ref="B65:K65"/>
    <mergeCell ref="B66:K66"/>
    <mergeCell ref="B67:K67"/>
    <mergeCell ref="B68:K68"/>
    <mergeCell ref="B69:K69"/>
    <mergeCell ref="B70:K70"/>
    <mergeCell ref="B107:K107"/>
    <mergeCell ref="B108:K108"/>
    <mergeCell ref="B64:K64"/>
    <mergeCell ref="E7:J7"/>
    <mergeCell ref="A8:B8"/>
    <mergeCell ref="A7:B7"/>
    <mergeCell ref="B95:K95"/>
    <mergeCell ref="B106:K106"/>
    <mergeCell ref="B77:K77"/>
    <mergeCell ref="B78:K78"/>
    <mergeCell ref="B79:K79"/>
    <mergeCell ref="B80:K80"/>
    <mergeCell ref="B81:K81"/>
    <mergeCell ref="B82:K82"/>
    <mergeCell ref="B71:K71"/>
    <mergeCell ref="B72:K72"/>
    <mergeCell ref="B73:K73"/>
    <mergeCell ref="B74:K74"/>
    <mergeCell ref="B75:K75"/>
    <mergeCell ref="B103:K103"/>
    <mergeCell ref="B104:K104"/>
    <mergeCell ref="B53:K53"/>
    <mergeCell ref="B54:K54"/>
    <mergeCell ref="B55:K55"/>
    <mergeCell ref="B56:K56"/>
    <mergeCell ref="B57:K57"/>
    <mergeCell ref="B58:K58"/>
  </mergeCells>
  <conditionalFormatting sqref="C5">
    <cfRule type="expression" dxfId="6" priority="4">
      <formula>C5=""</formula>
    </cfRule>
  </conditionalFormatting>
  <conditionalFormatting sqref="C6">
    <cfRule type="expression" dxfId="5" priority="5">
      <formula>AND(C5&lt;&gt;"",C6="")</formula>
    </cfRule>
  </conditionalFormatting>
  <conditionalFormatting sqref="D7:D8">
    <cfRule type="expression" dxfId="4" priority="3">
      <formula>$A$8</formula>
    </cfRule>
  </conditionalFormatting>
  <conditionalFormatting sqref="E7:J8">
    <cfRule type="expression" dxfId="3" priority="2">
      <formula>$A$8</formula>
    </cfRule>
  </conditionalFormatting>
  <conditionalFormatting sqref="L9">
    <cfRule type="expression" dxfId="2" priority="7">
      <formula>COUNT($L$12:$L$82)&lt;$L$8</formula>
    </cfRule>
  </conditionalFormatting>
  <conditionalFormatting sqref="L12:L109">
    <cfRule type="expression" dxfId="1" priority="1">
      <formula>COUNTIF($L$12:$L$109,L12)&gt;1</formula>
    </cfRule>
    <cfRule type="expression" dxfId="0" priority="6">
      <formula>L12=""</formula>
    </cfRule>
  </conditionalFormatting>
  <dataValidations count="5">
    <dataValidation allowBlank="1" showInputMessage="1" showErrorMessage="1" promptTitle="Número do 2.º aluno" prompt="Insira o número mecanográfico do 2.º aluno" sqref="C6" xr:uid="{26ED9C9C-54F9-42A6-99F1-61B8761F5781}"/>
    <dataValidation allowBlank="1" showInputMessage="1" showErrorMessage="1" promptTitle="Número do aluno" prompt="Indique o número mecanográfico do aluno." sqref="C5" xr:uid="{37B9886C-0527-4733-B0A1-604955032718}"/>
    <dataValidation type="whole" allowBlank="1" showInputMessage="1" showErrorMessage="1" sqref="G6" xr:uid="{C19AB5BA-6833-40FD-A62B-59835BC8A428}">
      <formula1>0</formula1>
      <formula2>36</formula2>
    </dataValidation>
    <dataValidation type="decimal" allowBlank="1" showInputMessage="1" showErrorMessage="1" sqref="C8" xr:uid="{4E1F0B5B-1704-4195-B6A8-8C8748541446}">
      <formula1>0</formula1>
      <formula2>20</formula2>
    </dataValidation>
    <dataValidation type="whole" allowBlank="1" showInputMessage="1" showErrorMessage="1" sqref="L12:L109" xr:uid="{1AA444F0-4EC8-406D-B0F2-0A4EA1ED4D41}">
      <formula1>1</formula1>
      <formula2>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F5C7-5273-4FF7-B644-CA83E0CDC8AC}">
  <dimension ref="A1:CX6"/>
  <sheetViews>
    <sheetView workbookViewId="0">
      <selection activeCell="C8" sqref="C8"/>
    </sheetView>
  </sheetViews>
  <sheetFormatPr defaultRowHeight="15" x14ac:dyDescent="0.25"/>
  <sheetData>
    <row r="1" spans="1:102" x14ac:dyDescent="0.25">
      <c r="A1" s="13" t="s">
        <v>12</v>
      </c>
      <c r="B1" s="13" t="s">
        <v>12</v>
      </c>
      <c r="C1" s="13"/>
      <c r="D1" s="13">
        <v>1</v>
      </c>
      <c r="E1" s="13">
        <v>2</v>
      </c>
      <c r="F1" s="13">
        <v>3</v>
      </c>
      <c r="G1" s="13">
        <v>4</v>
      </c>
      <c r="H1" s="13">
        <v>5</v>
      </c>
      <c r="I1" s="13">
        <v>6</v>
      </c>
      <c r="J1" s="13">
        <v>7</v>
      </c>
      <c r="K1" s="13">
        <v>8</v>
      </c>
      <c r="L1" s="13">
        <v>9</v>
      </c>
      <c r="M1" s="13">
        <v>10</v>
      </c>
      <c r="N1" s="13">
        <v>11</v>
      </c>
      <c r="O1" s="13">
        <v>12</v>
      </c>
      <c r="P1" s="13">
        <v>13</v>
      </c>
      <c r="Q1" s="13">
        <v>14</v>
      </c>
      <c r="R1" s="13">
        <v>15</v>
      </c>
      <c r="S1" s="13">
        <v>16</v>
      </c>
      <c r="T1" s="13">
        <v>17</v>
      </c>
      <c r="U1" s="13">
        <v>18</v>
      </c>
      <c r="V1" s="13">
        <v>19</v>
      </c>
      <c r="W1" s="13">
        <v>20</v>
      </c>
      <c r="X1" s="13">
        <v>21</v>
      </c>
      <c r="Y1" s="13">
        <v>22</v>
      </c>
      <c r="Z1" s="13">
        <v>23</v>
      </c>
      <c r="AA1" s="13">
        <v>24</v>
      </c>
      <c r="AB1" s="13">
        <v>25</v>
      </c>
      <c r="AC1" s="13">
        <v>26</v>
      </c>
      <c r="AD1" s="13">
        <v>27</v>
      </c>
      <c r="AE1" s="13">
        <v>28</v>
      </c>
      <c r="AF1" s="13">
        <v>29</v>
      </c>
      <c r="AG1" s="13">
        <v>30</v>
      </c>
      <c r="AH1" s="13">
        <v>31</v>
      </c>
      <c r="AI1" s="13">
        <v>32</v>
      </c>
      <c r="AJ1" s="13">
        <v>33</v>
      </c>
      <c r="AK1" s="13">
        <v>34</v>
      </c>
      <c r="AL1" s="13">
        <v>35</v>
      </c>
      <c r="AM1" s="13">
        <v>36</v>
      </c>
      <c r="AN1" s="13">
        <v>37</v>
      </c>
      <c r="AO1" s="13">
        <v>38</v>
      </c>
      <c r="AP1" s="13">
        <v>39</v>
      </c>
      <c r="AQ1" s="13">
        <v>40</v>
      </c>
      <c r="AR1" s="13">
        <v>41</v>
      </c>
      <c r="AS1" s="13">
        <v>42</v>
      </c>
      <c r="AT1" s="13">
        <v>43</v>
      </c>
      <c r="AU1" s="13">
        <v>44</v>
      </c>
      <c r="AV1" s="13">
        <v>45</v>
      </c>
      <c r="AW1" s="13">
        <v>46</v>
      </c>
      <c r="AX1" s="13">
        <v>47</v>
      </c>
      <c r="AY1" s="13">
        <v>48</v>
      </c>
      <c r="AZ1" s="13">
        <v>49</v>
      </c>
      <c r="BA1" s="13">
        <v>50</v>
      </c>
      <c r="BB1" s="13">
        <v>51</v>
      </c>
      <c r="BC1" s="13">
        <v>52</v>
      </c>
      <c r="BD1" s="13">
        <v>53</v>
      </c>
      <c r="BE1" s="13">
        <v>54</v>
      </c>
      <c r="BF1" s="13">
        <v>55</v>
      </c>
      <c r="BG1" s="13">
        <v>56</v>
      </c>
      <c r="BH1" s="13">
        <v>57</v>
      </c>
      <c r="BI1" s="13">
        <v>58</v>
      </c>
      <c r="BJ1" s="13">
        <v>59</v>
      </c>
      <c r="BK1" s="13">
        <v>60</v>
      </c>
      <c r="BL1" s="13">
        <v>61</v>
      </c>
      <c r="BM1" s="13">
        <v>62</v>
      </c>
      <c r="BN1" s="13">
        <v>63</v>
      </c>
      <c r="BO1" s="13">
        <v>64</v>
      </c>
      <c r="BP1" s="13">
        <v>65</v>
      </c>
      <c r="BQ1" s="13">
        <v>66</v>
      </c>
      <c r="BR1" s="13">
        <v>67</v>
      </c>
      <c r="BS1" s="13">
        <v>68</v>
      </c>
      <c r="BT1" s="13">
        <v>69</v>
      </c>
      <c r="BU1" s="13">
        <v>70</v>
      </c>
      <c r="BV1" s="13">
        <v>71</v>
      </c>
      <c r="BW1" s="13">
        <v>72</v>
      </c>
      <c r="BX1" s="13">
        <v>73</v>
      </c>
      <c r="BY1" s="13">
        <v>74</v>
      </c>
      <c r="BZ1" s="13">
        <v>75</v>
      </c>
      <c r="CA1" s="13">
        <v>76</v>
      </c>
      <c r="CB1" s="13">
        <v>77</v>
      </c>
      <c r="CC1" s="13">
        <v>78</v>
      </c>
      <c r="CD1" s="13">
        <v>79</v>
      </c>
      <c r="CE1" s="13">
        <v>80</v>
      </c>
      <c r="CF1" s="13">
        <v>81</v>
      </c>
      <c r="CG1" s="13">
        <v>82</v>
      </c>
      <c r="CH1" s="13">
        <v>83</v>
      </c>
      <c r="CI1" s="13">
        <v>84</v>
      </c>
      <c r="CJ1" s="13">
        <v>85</v>
      </c>
      <c r="CK1" s="13">
        <v>86</v>
      </c>
      <c r="CL1" s="13">
        <v>87</v>
      </c>
      <c r="CM1" s="13">
        <v>88</v>
      </c>
      <c r="CN1" s="13">
        <v>89</v>
      </c>
      <c r="CO1" s="13">
        <v>90</v>
      </c>
      <c r="CP1" s="13">
        <v>91</v>
      </c>
      <c r="CQ1" s="13">
        <v>92</v>
      </c>
      <c r="CR1" s="13">
        <v>93</v>
      </c>
      <c r="CS1" s="13">
        <v>94</v>
      </c>
      <c r="CT1" s="13">
        <v>95</v>
      </c>
      <c r="CU1" s="13">
        <v>96</v>
      </c>
      <c r="CV1" s="13">
        <v>97</v>
      </c>
      <c r="CW1" s="13">
        <v>98</v>
      </c>
      <c r="CX1" s="13">
        <v>99</v>
      </c>
    </row>
    <row r="2" spans="1:102" x14ac:dyDescent="0.25">
      <c r="A2">
        <f>[1]Candidatura!C5</f>
        <v>0</v>
      </c>
      <c r="B2">
        <f>[1]Candidatura!C6</f>
        <v>0</v>
      </c>
      <c r="D2" s="23">
        <f>[1]Candidatura!$L12</f>
        <v>0</v>
      </c>
      <c r="E2" s="23">
        <f>[1]Candidatura!$L12</f>
        <v>0</v>
      </c>
      <c r="F2" s="23">
        <f>[1]Candidatura!$L12</f>
        <v>0</v>
      </c>
      <c r="G2" s="23">
        <f>[1]Candidatura!$L12</f>
        <v>0</v>
      </c>
      <c r="H2" s="23">
        <f>[1]Candidatura!$L16</f>
        <v>0</v>
      </c>
      <c r="I2" s="23">
        <f>[1]Candidatura!$L17</f>
        <v>0</v>
      </c>
      <c r="J2" s="23">
        <f>[1]Candidatura!$L18</f>
        <v>0</v>
      </c>
      <c r="K2" s="23">
        <f>[1]Candidatura!$L19</f>
        <v>0</v>
      </c>
      <c r="L2" s="23">
        <f>[1]Candidatura!$L20</f>
        <v>0</v>
      </c>
      <c r="M2" s="23">
        <f>[1]Candidatura!$L21</f>
        <v>0</v>
      </c>
      <c r="N2" s="23">
        <f>[1]Candidatura!$L22</f>
        <v>0</v>
      </c>
      <c r="O2" s="23">
        <f>[1]Candidatura!$L23</f>
        <v>0</v>
      </c>
      <c r="P2" s="23">
        <f>[1]Candidatura!$L24</f>
        <v>0</v>
      </c>
      <c r="Q2" s="23">
        <f>[1]Candidatura!$L25</f>
        <v>0</v>
      </c>
      <c r="R2" s="23">
        <f>[1]Candidatura!$L26</f>
        <v>0</v>
      </c>
      <c r="S2" s="23">
        <f>[1]Candidatura!$L27</f>
        <v>0</v>
      </c>
      <c r="T2" s="23">
        <f>[1]Candidatura!$L28</f>
        <v>0</v>
      </c>
      <c r="U2" s="23">
        <f>[1]Candidatura!$L29</f>
        <v>0</v>
      </c>
      <c r="V2" s="23">
        <f>[1]Candidatura!$L30</f>
        <v>0</v>
      </c>
      <c r="W2" s="23">
        <f>[1]Candidatura!$L31</f>
        <v>0</v>
      </c>
      <c r="X2" s="23">
        <f>[1]Candidatura!$L32</f>
        <v>0</v>
      </c>
      <c r="Y2" s="23">
        <f>[1]Candidatura!$L33</f>
        <v>0</v>
      </c>
      <c r="Z2" s="23">
        <f>[1]Candidatura!$L34</f>
        <v>0</v>
      </c>
      <c r="AA2" s="23">
        <f>[1]Candidatura!$L35</f>
        <v>0</v>
      </c>
      <c r="AB2" s="23">
        <f>[1]Candidatura!$L36</f>
        <v>0</v>
      </c>
      <c r="AC2" s="23">
        <f>[1]Candidatura!$L37</f>
        <v>0</v>
      </c>
      <c r="AD2" s="23">
        <f>[1]Candidatura!$L38</f>
        <v>0</v>
      </c>
      <c r="AE2" s="23">
        <f>[1]Candidatura!$L39</f>
        <v>0</v>
      </c>
      <c r="AF2" s="23">
        <f>[1]Candidatura!$L40</f>
        <v>0</v>
      </c>
      <c r="AG2" s="23">
        <f>[1]Candidatura!$L41</f>
        <v>0</v>
      </c>
      <c r="AH2" s="23">
        <f>[1]Candidatura!$L42</f>
        <v>0</v>
      </c>
      <c r="AI2" s="23">
        <f>[1]Candidatura!$L43</f>
        <v>0</v>
      </c>
      <c r="AJ2" s="23">
        <f>[1]Candidatura!$L44</f>
        <v>0</v>
      </c>
      <c r="AK2" s="23">
        <f>[1]Candidatura!$L45</f>
        <v>0</v>
      </c>
      <c r="AL2" s="23">
        <f>[1]Candidatura!$L46</f>
        <v>0</v>
      </c>
      <c r="AM2" s="23">
        <f>[1]Candidatura!$L47</f>
        <v>0</v>
      </c>
      <c r="AN2" s="23">
        <f>[1]Candidatura!$L48</f>
        <v>0</v>
      </c>
      <c r="AO2" s="23">
        <f>[1]Candidatura!$L49</f>
        <v>0</v>
      </c>
      <c r="AP2" s="23">
        <f>[1]Candidatura!$L50</f>
        <v>0</v>
      </c>
      <c r="AQ2" s="23">
        <f>[1]Candidatura!$L51</f>
        <v>0</v>
      </c>
      <c r="AR2" s="23">
        <f>[1]Candidatura!$L52</f>
        <v>0</v>
      </c>
      <c r="AS2" s="23">
        <f>[1]Candidatura!$L53</f>
        <v>0</v>
      </c>
      <c r="AT2" s="23">
        <f>[1]Candidatura!$L54</f>
        <v>0</v>
      </c>
      <c r="AU2" s="23">
        <f>[1]Candidatura!$L55</f>
        <v>0</v>
      </c>
      <c r="AV2" s="23">
        <f>[1]Candidatura!$L56</f>
        <v>0</v>
      </c>
      <c r="AW2" s="23">
        <f>[1]Candidatura!$L57</f>
        <v>0</v>
      </c>
      <c r="AX2" s="23">
        <f>[1]Candidatura!$L58</f>
        <v>0</v>
      </c>
      <c r="AY2" s="23">
        <f>[1]Candidatura!$L59</f>
        <v>0</v>
      </c>
      <c r="AZ2" s="23">
        <f>[1]Candidatura!$L60</f>
        <v>0</v>
      </c>
      <c r="BA2" s="23">
        <f>[1]Candidatura!$L61</f>
        <v>0</v>
      </c>
      <c r="BB2" s="23">
        <f>[1]Candidatura!$L62</f>
        <v>0</v>
      </c>
      <c r="BC2" s="23">
        <f>[1]Candidatura!$L63</f>
        <v>0</v>
      </c>
      <c r="BD2" s="23">
        <f>[1]Candidatura!$L64</f>
        <v>0</v>
      </c>
      <c r="BE2" s="23">
        <f>[1]Candidatura!$L65</f>
        <v>0</v>
      </c>
      <c r="BF2" s="23">
        <f>[1]Candidatura!$L66</f>
        <v>0</v>
      </c>
      <c r="BG2" s="23">
        <f>[1]Candidatura!$L67</f>
        <v>0</v>
      </c>
      <c r="BH2" s="23">
        <f>[1]Candidatura!$L68</f>
        <v>0</v>
      </c>
      <c r="BI2" s="23">
        <f>[1]Candidatura!$L69</f>
        <v>0</v>
      </c>
      <c r="BJ2" s="23">
        <f>[1]Candidatura!$L70</f>
        <v>0</v>
      </c>
      <c r="BK2" s="23">
        <f>[1]Candidatura!$L71</f>
        <v>0</v>
      </c>
      <c r="BL2" s="23">
        <f>[1]Candidatura!$L72</f>
        <v>0</v>
      </c>
      <c r="BM2" s="23">
        <f>[1]Candidatura!$L73</f>
        <v>0</v>
      </c>
      <c r="BN2" s="23">
        <f>[1]Candidatura!$L74</f>
        <v>0</v>
      </c>
      <c r="BO2" s="23">
        <f>[1]Candidatura!$L75</f>
        <v>0</v>
      </c>
      <c r="BP2" s="23">
        <f>[1]Candidatura!$L76</f>
        <v>0</v>
      </c>
      <c r="BQ2" s="23">
        <f>[1]Candidatura!$L77</f>
        <v>0</v>
      </c>
      <c r="BR2" s="23">
        <f>[1]Candidatura!$L78</f>
        <v>0</v>
      </c>
      <c r="BS2" s="23">
        <f>[1]Candidatura!$L79</f>
        <v>0</v>
      </c>
      <c r="BT2" s="23">
        <f>[1]Candidatura!$L80</f>
        <v>0</v>
      </c>
      <c r="BU2" s="23">
        <f>[1]Candidatura!$L81</f>
        <v>0</v>
      </c>
      <c r="BV2" s="23">
        <f>[1]Candidatura!$L82</f>
        <v>0</v>
      </c>
      <c r="BW2" s="23">
        <f>[1]Candidatura!$L83</f>
        <v>0</v>
      </c>
      <c r="BX2" s="23">
        <f>[1]Candidatura!$L83</f>
        <v>0</v>
      </c>
      <c r="BY2" s="23">
        <f>[1]Candidatura!$L83</f>
        <v>0</v>
      </c>
      <c r="BZ2" s="23">
        <f>[1]Candidatura!$L83</f>
        <v>0</v>
      </c>
      <c r="CA2" s="23">
        <f>[1]Candidatura!$L83</f>
        <v>0</v>
      </c>
      <c r="CB2" s="23">
        <f>[1]Candidatura!$L83</f>
        <v>0</v>
      </c>
      <c r="CC2" s="23">
        <f>[1]Candidatura!$L83</f>
        <v>0</v>
      </c>
      <c r="CD2" s="23">
        <f>[1]Candidatura!$L83</f>
        <v>0</v>
      </c>
      <c r="CE2" s="23">
        <f>[1]Candidatura!$L83</f>
        <v>0</v>
      </c>
      <c r="CF2" s="23">
        <f>[1]Candidatura!$L83</f>
        <v>0</v>
      </c>
      <c r="CG2" s="23">
        <f>[1]Candidatura!$L83</f>
        <v>0</v>
      </c>
      <c r="CH2" s="23">
        <f>[1]Candidatura!$L83</f>
        <v>0</v>
      </c>
      <c r="CI2" s="23">
        <f>[1]Candidatura!$L83</f>
        <v>0</v>
      </c>
      <c r="CJ2" s="23">
        <f>[1]Candidatura!$L83</f>
        <v>0</v>
      </c>
      <c r="CK2" s="23">
        <f>[1]Candidatura!$L83</f>
        <v>0</v>
      </c>
      <c r="CL2" s="23">
        <f>[1]Candidatura!$L83</f>
        <v>0</v>
      </c>
      <c r="CM2" s="23">
        <f>[1]Candidatura!$L83</f>
        <v>0</v>
      </c>
      <c r="CN2" s="23">
        <f>[1]Candidatura!$L83</f>
        <v>0</v>
      </c>
      <c r="CO2" s="23">
        <f>[1]Candidatura!$L83</f>
        <v>0</v>
      </c>
      <c r="CP2" s="23">
        <f>[1]Candidatura!$L83</f>
        <v>0</v>
      </c>
      <c r="CQ2" s="23">
        <f>[1]Candidatura!$L83</f>
        <v>0</v>
      </c>
      <c r="CR2" s="23">
        <f>[1]Candidatura!$L83</f>
        <v>0</v>
      </c>
      <c r="CS2" s="23">
        <f>[1]Candidatura!$L83</f>
        <v>0</v>
      </c>
      <c r="CT2" s="23">
        <f>[1]Candidatura!$L83</f>
        <v>0</v>
      </c>
      <c r="CU2" s="23">
        <f>[1]Candidatura!$L83</f>
        <v>0</v>
      </c>
      <c r="CV2" s="23">
        <f>[1]Candidatura!$L83</f>
        <v>0</v>
      </c>
      <c r="CW2" s="23">
        <f>[1]Candidatura!$L83</f>
        <v>0</v>
      </c>
      <c r="CX2" s="23">
        <f>[1]Candidatura!$L83</f>
        <v>0</v>
      </c>
    </row>
    <row r="4" spans="1:102" x14ac:dyDescent="0.25">
      <c r="A4" s="13"/>
      <c r="B4" s="24" t="s">
        <v>13</v>
      </c>
    </row>
    <row r="5" spans="1:102" x14ac:dyDescent="0.25">
      <c r="A5" s="13"/>
      <c r="B5" s="24" t="s">
        <v>14</v>
      </c>
      <c r="C5">
        <f>[1]Candidatura!E7</f>
        <v>0</v>
      </c>
    </row>
    <row r="6" spans="1:102" x14ac:dyDescent="0.25">
      <c r="A6" s="13"/>
      <c r="B6" s="24" t="s">
        <v>15</v>
      </c>
      <c r="C6">
        <f>[1]Candidatura!E8</f>
        <v>0</v>
      </c>
    </row>
  </sheetData>
  <sheetProtection algorithmName="SHA-512" hashValue="UJ75Z5mpf64wmfOwVnTL1KYx+AdLuP3WyA8e5ip3FO6OwziJE7wgB+95CCkfTKwZQr3LSfmRiBDwhBBJc6V4dA==" saltValue="m0QCdzhqiY4vpJ4UG9mLh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B768-BF3C-4633-89BA-0FEB50BBCFA4}">
  <dimension ref="A1:B155"/>
  <sheetViews>
    <sheetView workbookViewId="0">
      <selection activeCell="A156" sqref="A156:XFD168"/>
    </sheetView>
  </sheetViews>
  <sheetFormatPr defaultRowHeight="15" x14ac:dyDescent="0.25"/>
  <cols>
    <col min="1" max="1" width="12.140625" customWidth="1"/>
  </cols>
  <sheetData>
    <row r="1" spans="1:2" x14ac:dyDescent="0.25">
      <c r="A1">
        <v>79026</v>
      </c>
      <c r="B1" t="s">
        <v>34</v>
      </c>
    </row>
    <row r="2" spans="1:2" x14ac:dyDescent="0.25">
      <c r="A2">
        <v>82140</v>
      </c>
      <c r="B2" t="s">
        <v>35</v>
      </c>
    </row>
    <row r="3" spans="1:2" x14ac:dyDescent="0.25">
      <c r="A3">
        <v>82110</v>
      </c>
      <c r="B3" t="s">
        <v>36</v>
      </c>
    </row>
    <row r="4" spans="1:2" x14ac:dyDescent="0.25">
      <c r="A4">
        <v>81045</v>
      </c>
      <c r="B4" t="s">
        <v>37</v>
      </c>
    </row>
    <row r="5" spans="1:2" x14ac:dyDescent="0.25">
      <c r="A5">
        <v>77361</v>
      </c>
      <c r="B5" t="s">
        <v>16</v>
      </c>
    </row>
    <row r="6" spans="1:2" x14ac:dyDescent="0.25">
      <c r="A6">
        <v>81341</v>
      </c>
      <c r="B6" t="s">
        <v>38</v>
      </c>
    </row>
    <row r="7" spans="1:2" x14ac:dyDescent="0.25">
      <c r="A7">
        <v>66413</v>
      </c>
      <c r="B7" t="s">
        <v>39</v>
      </c>
    </row>
    <row r="8" spans="1:2" x14ac:dyDescent="0.25">
      <c r="A8">
        <v>30528</v>
      </c>
      <c r="B8" t="s">
        <v>40</v>
      </c>
    </row>
    <row r="9" spans="1:2" x14ac:dyDescent="0.25">
      <c r="A9">
        <v>80901</v>
      </c>
      <c r="B9" t="s">
        <v>41</v>
      </c>
    </row>
    <row r="10" spans="1:2" x14ac:dyDescent="0.25">
      <c r="A10">
        <v>78680</v>
      </c>
      <c r="B10" t="s">
        <v>17</v>
      </c>
    </row>
    <row r="11" spans="1:2" x14ac:dyDescent="0.25">
      <c r="A11">
        <v>81973</v>
      </c>
      <c r="B11" t="s">
        <v>42</v>
      </c>
    </row>
    <row r="12" spans="1:2" x14ac:dyDescent="0.25">
      <c r="A12">
        <v>68723</v>
      </c>
      <c r="B12" t="s">
        <v>18</v>
      </c>
    </row>
    <row r="13" spans="1:2" x14ac:dyDescent="0.25">
      <c r="A13">
        <v>81545</v>
      </c>
      <c r="B13" t="s">
        <v>43</v>
      </c>
    </row>
    <row r="14" spans="1:2" x14ac:dyDescent="0.25">
      <c r="A14">
        <v>81952</v>
      </c>
      <c r="B14" t="s">
        <v>44</v>
      </c>
    </row>
    <row r="15" spans="1:2" x14ac:dyDescent="0.25">
      <c r="A15">
        <v>81097</v>
      </c>
      <c r="B15" t="s">
        <v>45</v>
      </c>
    </row>
    <row r="16" spans="1:2" x14ac:dyDescent="0.25">
      <c r="A16">
        <v>77334</v>
      </c>
      <c r="B16" t="s">
        <v>46</v>
      </c>
    </row>
    <row r="17" spans="1:2" x14ac:dyDescent="0.25">
      <c r="A17">
        <v>80494</v>
      </c>
      <c r="B17" t="s">
        <v>47</v>
      </c>
    </row>
    <row r="18" spans="1:2" x14ac:dyDescent="0.25">
      <c r="A18">
        <v>81047</v>
      </c>
      <c r="B18" t="s">
        <v>48</v>
      </c>
    </row>
    <row r="19" spans="1:2" x14ac:dyDescent="0.25">
      <c r="A19">
        <v>81092</v>
      </c>
      <c r="B19" t="s">
        <v>49</v>
      </c>
    </row>
    <row r="20" spans="1:2" x14ac:dyDescent="0.25">
      <c r="A20">
        <v>79170</v>
      </c>
      <c r="B20" t="s">
        <v>19</v>
      </c>
    </row>
    <row r="21" spans="1:2" x14ac:dyDescent="0.25">
      <c r="A21">
        <v>81205</v>
      </c>
      <c r="B21" t="s">
        <v>50</v>
      </c>
    </row>
    <row r="22" spans="1:2" x14ac:dyDescent="0.25">
      <c r="A22">
        <v>80990</v>
      </c>
      <c r="B22" t="s">
        <v>51</v>
      </c>
    </row>
    <row r="23" spans="1:2" x14ac:dyDescent="0.25">
      <c r="A23">
        <v>81033</v>
      </c>
      <c r="B23" t="s">
        <v>52</v>
      </c>
    </row>
    <row r="24" spans="1:2" x14ac:dyDescent="0.25">
      <c r="A24">
        <v>82213</v>
      </c>
      <c r="B24" t="s">
        <v>53</v>
      </c>
    </row>
    <row r="25" spans="1:2" x14ac:dyDescent="0.25">
      <c r="A25">
        <v>81169</v>
      </c>
      <c r="B25" t="s">
        <v>54</v>
      </c>
    </row>
    <row r="26" spans="1:2" x14ac:dyDescent="0.25">
      <c r="A26">
        <v>80429</v>
      </c>
      <c r="B26" t="s">
        <v>55</v>
      </c>
    </row>
    <row r="27" spans="1:2" x14ac:dyDescent="0.25">
      <c r="A27">
        <v>82701</v>
      </c>
      <c r="B27" t="s">
        <v>56</v>
      </c>
    </row>
    <row r="28" spans="1:2" x14ac:dyDescent="0.25">
      <c r="A28">
        <v>82700</v>
      </c>
      <c r="B28" t="s">
        <v>57</v>
      </c>
    </row>
    <row r="29" spans="1:2" x14ac:dyDescent="0.25">
      <c r="A29">
        <v>81634</v>
      </c>
      <c r="B29" t="s">
        <v>58</v>
      </c>
    </row>
    <row r="30" spans="1:2" x14ac:dyDescent="0.25">
      <c r="A30">
        <v>79355</v>
      </c>
      <c r="B30" t="s">
        <v>59</v>
      </c>
    </row>
    <row r="31" spans="1:2" x14ac:dyDescent="0.25">
      <c r="A31">
        <v>73561</v>
      </c>
      <c r="B31" t="s">
        <v>60</v>
      </c>
    </row>
    <row r="32" spans="1:2" x14ac:dyDescent="0.25">
      <c r="A32">
        <v>68894</v>
      </c>
      <c r="B32" t="s">
        <v>20</v>
      </c>
    </row>
    <row r="33" spans="1:2" x14ac:dyDescent="0.25">
      <c r="A33">
        <v>2025172851</v>
      </c>
      <c r="B33" t="s">
        <v>61</v>
      </c>
    </row>
    <row r="34" spans="1:2" x14ac:dyDescent="0.25">
      <c r="A34">
        <v>81573</v>
      </c>
      <c r="B34" t="s">
        <v>62</v>
      </c>
    </row>
    <row r="35" spans="1:2" x14ac:dyDescent="0.25">
      <c r="A35">
        <v>82389</v>
      </c>
      <c r="B35" t="s">
        <v>63</v>
      </c>
    </row>
    <row r="36" spans="1:2" x14ac:dyDescent="0.25">
      <c r="A36">
        <v>82626</v>
      </c>
      <c r="B36" t="s">
        <v>64</v>
      </c>
    </row>
    <row r="37" spans="1:2" x14ac:dyDescent="0.25">
      <c r="A37">
        <v>81454</v>
      </c>
      <c r="B37" t="s">
        <v>65</v>
      </c>
    </row>
    <row r="38" spans="1:2" x14ac:dyDescent="0.25">
      <c r="A38">
        <v>80981</v>
      </c>
      <c r="B38" t="s">
        <v>66</v>
      </c>
    </row>
    <row r="39" spans="1:2" x14ac:dyDescent="0.25">
      <c r="A39">
        <v>81442</v>
      </c>
      <c r="B39" t="s">
        <v>67</v>
      </c>
    </row>
    <row r="40" spans="1:2" x14ac:dyDescent="0.25">
      <c r="A40">
        <v>77369</v>
      </c>
      <c r="B40" t="s">
        <v>68</v>
      </c>
    </row>
    <row r="41" spans="1:2" x14ac:dyDescent="0.25">
      <c r="A41">
        <v>73245</v>
      </c>
      <c r="B41" t="s">
        <v>21</v>
      </c>
    </row>
    <row r="42" spans="1:2" x14ac:dyDescent="0.25">
      <c r="A42">
        <v>81948</v>
      </c>
      <c r="B42" t="s">
        <v>69</v>
      </c>
    </row>
    <row r="43" spans="1:2" x14ac:dyDescent="0.25">
      <c r="A43">
        <v>80884</v>
      </c>
      <c r="B43" t="s">
        <v>70</v>
      </c>
    </row>
    <row r="44" spans="1:2" x14ac:dyDescent="0.25">
      <c r="A44">
        <v>81756</v>
      </c>
      <c r="B44" t="s">
        <v>71</v>
      </c>
    </row>
    <row r="45" spans="1:2" x14ac:dyDescent="0.25">
      <c r="A45">
        <v>79192</v>
      </c>
      <c r="B45" t="s">
        <v>72</v>
      </c>
    </row>
    <row r="46" spans="1:2" x14ac:dyDescent="0.25">
      <c r="A46">
        <v>81303</v>
      </c>
      <c r="B46" t="s">
        <v>73</v>
      </c>
    </row>
    <row r="47" spans="1:2" x14ac:dyDescent="0.25">
      <c r="A47">
        <v>82239</v>
      </c>
      <c r="B47" t="s">
        <v>74</v>
      </c>
    </row>
    <row r="48" spans="1:2" x14ac:dyDescent="0.25">
      <c r="A48">
        <v>82048</v>
      </c>
      <c r="B48" t="s">
        <v>75</v>
      </c>
    </row>
    <row r="49" spans="1:2" x14ac:dyDescent="0.25">
      <c r="A49">
        <v>82040</v>
      </c>
      <c r="B49" t="s">
        <v>76</v>
      </c>
    </row>
    <row r="50" spans="1:2" x14ac:dyDescent="0.25">
      <c r="A50">
        <v>81434</v>
      </c>
      <c r="B50" t="s">
        <v>77</v>
      </c>
    </row>
    <row r="51" spans="1:2" x14ac:dyDescent="0.25">
      <c r="A51">
        <v>82084</v>
      </c>
      <c r="B51" t="s">
        <v>78</v>
      </c>
    </row>
    <row r="52" spans="1:2" x14ac:dyDescent="0.25">
      <c r="A52">
        <v>81477</v>
      </c>
      <c r="B52" t="s">
        <v>79</v>
      </c>
    </row>
    <row r="53" spans="1:2" x14ac:dyDescent="0.25">
      <c r="A53">
        <v>82066</v>
      </c>
      <c r="B53" t="s">
        <v>80</v>
      </c>
    </row>
    <row r="54" spans="1:2" x14ac:dyDescent="0.25">
      <c r="A54">
        <v>81918</v>
      </c>
      <c r="B54" t="s">
        <v>81</v>
      </c>
    </row>
    <row r="55" spans="1:2" x14ac:dyDescent="0.25">
      <c r="A55">
        <v>81736</v>
      </c>
      <c r="B55" t="s">
        <v>82</v>
      </c>
    </row>
    <row r="56" spans="1:2" x14ac:dyDescent="0.25">
      <c r="A56">
        <v>79200</v>
      </c>
      <c r="B56" t="s">
        <v>83</v>
      </c>
    </row>
    <row r="57" spans="1:2" x14ac:dyDescent="0.25">
      <c r="A57">
        <v>81050</v>
      </c>
      <c r="B57" t="s">
        <v>84</v>
      </c>
    </row>
    <row r="58" spans="1:2" x14ac:dyDescent="0.25">
      <c r="A58">
        <v>78326</v>
      </c>
      <c r="B58" t="s">
        <v>85</v>
      </c>
    </row>
    <row r="59" spans="1:2" x14ac:dyDescent="0.25">
      <c r="A59">
        <v>81402</v>
      </c>
      <c r="B59" t="s">
        <v>86</v>
      </c>
    </row>
    <row r="60" spans="1:2" x14ac:dyDescent="0.25">
      <c r="A60">
        <v>81334</v>
      </c>
      <c r="B60" t="s">
        <v>87</v>
      </c>
    </row>
    <row r="61" spans="1:2" x14ac:dyDescent="0.25">
      <c r="A61">
        <v>77182</v>
      </c>
      <c r="B61" t="s">
        <v>88</v>
      </c>
    </row>
    <row r="62" spans="1:2" x14ac:dyDescent="0.25">
      <c r="A62">
        <v>81970</v>
      </c>
      <c r="B62" t="s">
        <v>89</v>
      </c>
    </row>
    <row r="63" spans="1:2" x14ac:dyDescent="0.25">
      <c r="A63">
        <v>81167</v>
      </c>
      <c r="B63" t="s">
        <v>90</v>
      </c>
    </row>
    <row r="64" spans="1:2" x14ac:dyDescent="0.25">
      <c r="A64">
        <v>79034</v>
      </c>
      <c r="B64" t="s">
        <v>22</v>
      </c>
    </row>
    <row r="65" spans="1:2" x14ac:dyDescent="0.25">
      <c r="A65">
        <v>81324</v>
      </c>
      <c r="B65" t="s">
        <v>91</v>
      </c>
    </row>
    <row r="66" spans="1:2" x14ac:dyDescent="0.25">
      <c r="A66">
        <v>82674</v>
      </c>
      <c r="B66" t="s">
        <v>92</v>
      </c>
    </row>
    <row r="67" spans="1:2" x14ac:dyDescent="0.25">
      <c r="A67">
        <v>82275</v>
      </c>
      <c r="B67" t="s">
        <v>93</v>
      </c>
    </row>
    <row r="68" spans="1:2" x14ac:dyDescent="0.25">
      <c r="A68">
        <v>81748</v>
      </c>
      <c r="B68" t="s">
        <v>94</v>
      </c>
    </row>
    <row r="69" spans="1:2" x14ac:dyDescent="0.25">
      <c r="A69">
        <v>81304</v>
      </c>
      <c r="B69" t="s">
        <v>95</v>
      </c>
    </row>
    <row r="70" spans="1:2" x14ac:dyDescent="0.25">
      <c r="A70">
        <v>81173</v>
      </c>
      <c r="B70" t="s">
        <v>96</v>
      </c>
    </row>
    <row r="71" spans="1:2" x14ac:dyDescent="0.25">
      <c r="A71">
        <v>81381</v>
      </c>
      <c r="B71" t="s">
        <v>97</v>
      </c>
    </row>
    <row r="72" spans="1:2" x14ac:dyDescent="0.25">
      <c r="A72">
        <v>82197</v>
      </c>
      <c r="B72" t="s">
        <v>98</v>
      </c>
    </row>
    <row r="73" spans="1:2" x14ac:dyDescent="0.25">
      <c r="A73">
        <v>82576</v>
      </c>
      <c r="B73" t="s">
        <v>99</v>
      </c>
    </row>
    <row r="74" spans="1:2" x14ac:dyDescent="0.25">
      <c r="A74">
        <v>81202</v>
      </c>
      <c r="B74" t="s">
        <v>100</v>
      </c>
    </row>
    <row r="75" spans="1:2" x14ac:dyDescent="0.25">
      <c r="A75">
        <v>81351</v>
      </c>
      <c r="B75" t="s">
        <v>101</v>
      </c>
    </row>
    <row r="76" spans="1:2" x14ac:dyDescent="0.25">
      <c r="A76">
        <v>82630</v>
      </c>
      <c r="B76" t="s">
        <v>102</v>
      </c>
    </row>
    <row r="77" spans="1:2" x14ac:dyDescent="0.25">
      <c r="A77">
        <v>76642</v>
      </c>
      <c r="B77" t="s">
        <v>23</v>
      </c>
    </row>
    <row r="78" spans="1:2" x14ac:dyDescent="0.25">
      <c r="A78">
        <v>81044</v>
      </c>
      <c r="B78" t="s">
        <v>103</v>
      </c>
    </row>
    <row r="79" spans="1:2" x14ac:dyDescent="0.25">
      <c r="A79">
        <v>78594</v>
      </c>
      <c r="B79" t="s">
        <v>104</v>
      </c>
    </row>
    <row r="80" spans="1:2" x14ac:dyDescent="0.25">
      <c r="A80">
        <v>81296</v>
      </c>
      <c r="B80" t="s">
        <v>105</v>
      </c>
    </row>
    <row r="81" spans="1:2" x14ac:dyDescent="0.25">
      <c r="A81">
        <v>81410</v>
      </c>
      <c r="B81" t="s">
        <v>106</v>
      </c>
    </row>
    <row r="82" spans="1:2" x14ac:dyDescent="0.25">
      <c r="A82">
        <v>81605</v>
      </c>
      <c r="B82" t="s">
        <v>107</v>
      </c>
    </row>
    <row r="83" spans="1:2" x14ac:dyDescent="0.25">
      <c r="A83">
        <v>81048</v>
      </c>
      <c r="B83" t="s">
        <v>108</v>
      </c>
    </row>
    <row r="84" spans="1:2" x14ac:dyDescent="0.25">
      <c r="A84">
        <v>81547</v>
      </c>
      <c r="B84" t="s">
        <v>109</v>
      </c>
    </row>
    <row r="85" spans="1:2" x14ac:dyDescent="0.25">
      <c r="A85">
        <v>2025166677</v>
      </c>
      <c r="B85" t="s">
        <v>110</v>
      </c>
    </row>
    <row r="86" spans="1:2" x14ac:dyDescent="0.25">
      <c r="A86">
        <v>81764</v>
      </c>
      <c r="B86" t="s">
        <v>111</v>
      </c>
    </row>
    <row r="87" spans="1:2" x14ac:dyDescent="0.25">
      <c r="A87">
        <v>2025174310</v>
      </c>
      <c r="B87" t="s">
        <v>112</v>
      </c>
    </row>
    <row r="88" spans="1:2" x14ac:dyDescent="0.25">
      <c r="A88">
        <v>82692</v>
      </c>
      <c r="B88" t="s">
        <v>113</v>
      </c>
    </row>
    <row r="89" spans="1:2" x14ac:dyDescent="0.25">
      <c r="A89">
        <v>81242</v>
      </c>
      <c r="B89" t="s">
        <v>114</v>
      </c>
    </row>
    <row r="90" spans="1:2" x14ac:dyDescent="0.25">
      <c r="A90">
        <v>73890</v>
      </c>
      <c r="B90" t="s">
        <v>24</v>
      </c>
    </row>
    <row r="91" spans="1:2" x14ac:dyDescent="0.25">
      <c r="A91">
        <v>70546</v>
      </c>
      <c r="B91" t="s">
        <v>115</v>
      </c>
    </row>
    <row r="92" spans="1:2" x14ac:dyDescent="0.25">
      <c r="A92">
        <v>64035</v>
      </c>
      <c r="B92" t="s">
        <v>116</v>
      </c>
    </row>
    <row r="93" spans="1:2" x14ac:dyDescent="0.25">
      <c r="A93">
        <v>81452</v>
      </c>
      <c r="B93" t="s">
        <v>117</v>
      </c>
    </row>
    <row r="94" spans="1:2" x14ac:dyDescent="0.25">
      <c r="A94">
        <v>81188</v>
      </c>
      <c r="B94" t="s">
        <v>118</v>
      </c>
    </row>
    <row r="95" spans="1:2" x14ac:dyDescent="0.25">
      <c r="A95">
        <v>81691</v>
      </c>
      <c r="B95" t="s">
        <v>119</v>
      </c>
    </row>
    <row r="96" spans="1:2" x14ac:dyDescent="0.25">
      <c r="A96">
        <v>81604</v>
      </c>
      <c r="B96" t="s">
        <v>120</v>
      </c>
    </row>
    <row r="97" spans="1:2" x14ac:dyDescent="0.25">
      <c r="A97">
        <v>79012</v>
      </c>
      <c r="B97" t="s">
        <v>121</v>
      </c>
    </row>
    <row r="98" spans="1:2" x14ac:dyDescent="0.25">
      <c r="A98">
        <v>81828</v>
      </c>
      <c r="B98" t="s">
        <v>122</v>
      </c>
    </row>
    <row r="99" spans="1:2" x14ac:dyDescent="0.25">
      <c r="A99">
        <v>78645</v>
      </c>
      <c r="B99" t="s">
        <v>123</v>
      </c>
    </row>
    <row r="100" spans="1:2" x14ac:dyDescent="0.25">
      <c r="A100">
        <v>81362</v>
      </c>
      <c r="B100" t="s">
        <v>124</v>
      </c>
    </row>
    <row r="101" spans="1:2" x14ac:dyDescent="0.25">
      <c r="A101">
        <v>81967</v>
      </c>
      <c r="B101" t="s">
        <v>125</v>
      </c>
    </row>
    <row r="102" spans="1:2" x14ac:dyDescent="0.25">
      <c r="A102">
        <v>81143</v>
      </c>
      <c r="B102" t="s">
        <v>126</v>
      </c>
    </row>
    <row r="103" spans="1:2" x14ac:dyDescent="0.25">
      <c r="A103">
        <v>82199</v>
      </c>
      <c r="B103" t="s">
        <v>127</v>
      </c>
    </row>
    <row r="104" spans="1:2" x14ac:dyDescent="0.25">
      <c r="A104">
        <v>81415</v>
      </c>
      <c r="B104" t="s">
        <v>128</v>
      </c>
    </row>
    <row r="105" spans="1:2" x14ac:dyDescent="0.25">
      <c r="A105">
        <v>70593</v>
      </c>
      <c r="B105" t="s">
        <v>129</v>
      </c>
    </row>
    <row r="106" spans="1:2" x14ac:dyDescent="0.25">
      <c r="A106">
        <v>81039</v>
      </c>
      <c r="B106" t="s">
        <v>130</v>
      </c>
    </row>
    <row r="107" spans="1:2" x14ac:dyDescent="0.25">
      <c r="A107">
        <v>81955</v>
      </c>
      <c r="B107" t="s">
        <v>131</v>
      </c>
    </row>
    <row r="108" spans="1:2" x14ac:dyDescent="0.25">
      <c r="A108">
        <v>68535</v>
      </c>
      <c r="B108" t="s">
        <v>132</v>
      </c>
    </row>
    <row r="109" spans="1:2" x14ac:dyDescent="0.25">
      <c r="A109">
        <v>82002</v>
      </c>
      <c r="B109" t="s">
        <v>133</v>
      </c>
    </row>
    <row r="110" spans="1:2" x14ac:dyDescent="0.25">
      <c r="A110">
        <v>76201</v>
      </c>
      <c r="B110" t="s">
        <v>134</v>
      </c>
    </row>
    <row r="111" spans="1:2" x14ac:dyDescent="0.25">
      <c r="A111">
        <v>82575</v>
      </c>
      <c r="B111" t="s">
        <v>135</v>
      </c>
    </row>
    <row r="112" spans="1:2" x14ac:dyDescent="0.25">
      <c r="A112">
        <v>80502</v>
      </c>
      <c r="B112" t="s">
        <v>136</v>
      </c>
    </row>
    <row r="113" spans="1:2" x14ac:dyDescent="0.25">
      <c r="A113">
        <v>81043</v>
      </c>
      <c r="B113" t="s">
        <v>137</v>
      </c>
    </row>
    <row r="114" spans="1:2" x14ac:dyDescent="0.25">
      <c r="A114">
        <v>78535</v>
      </c>
      <c r="B114" t="s">
        <v>25</v>
      </c>
    </row>
    <row r="115" spans="1:2" x14ac:dyDescent="0.25">
      <c r="A115">
        <v>81502</v>
      </c>
      <c r="B115" t="s">
        <v>138</v>
      </c>
    </row>
    <row r="116" spans="1:2" x14ac:dyDescent="0.25">
      <c r="A116">
        <v>76934</v>
      </c>
      <c r="B116" t="s">
        <v>139</v>
      </c>
    </row>
    <row r="117" spans="1:2" x14ac:dyDescent="0.25">
      <c r="A117">
        <v>81586</v>
      </c>
      <c r="B117" t="s">
        <v>140</v>
      </c>
    </row>
    <row r="118" spans="1:2" x14ac:dyDescent="0.25">
      <c r="A118">
        <v>81313</v>
      </c>
      <c r="B118" t="s">
        <v>141</v>
      </c>
    </row>
    <row r="119" spans="1:2" x14ac:dyDescent="0.25">
      <c r="A119">
        <v>78173</v>
      </c>
      <c r="B119" t="s">
        <v>26</v>
      </c>
    </row>
    <row r="120" spans="1:2" x14ac:dyDescent="0.25">
      <c r="A120">
        <v>81311</v>
      </c>
      <c r="B120" t="s">
        <v>142</v>
      </c>
    </row>
    <row r="121" spans="1:2" x14ac:dyDescent="0.25">
      <c r="A121">
        <v>78656</v>
      </c>
      <c r="B121" t="s">
        <v>143</v>
      </c>
    </row>
    <row r="122" spans="1:2" x14ac:dyDescent="0.25">
      <c r="A122">
        <v>76328</v>
      </c>
      <c r="B122" t="s">
        <v>144</v>
      </c>
    </row>
    <row r="123" spans="1:2" x14ac:dyDescent="0.25">
      <c r="A123">
        <v>81302</v>
      </c>
      <c r="B123" t="s">
        <v>145</v>
      </c>
    </row>
    <row r="124" spans="1:2" x14ac:dyDescent="0.25">
      <c r="A124">
        <v>81940</v>
      </c>
      <c r="B124" t="s">
        <v>146</v>
      </c>
    </row>
    <row r="125" spans="1:2" x14ac:dyDescent="0.25">
      <c r="A125">
        <v>82141</v>
      </c>
      <c r="B125" t="s">
        <v>147</v>
      </c>
    </row>
    <row r="126" spans="1:2" x14ac:dyDescent="0.25">
      <c r="A126">
        <v>81971</v>
      </c>
      <c r="B126" t="s">
        <v>148</v>
      </c>
    </row>
    <row r="127" spans="1:2" x14ac:dyDescent="0.25">
      <c r="A127">
        <v>82846</v>
      </c>
      <c r="B127" t="s">
        <v>149</v>
      </c>
    </row>
    <row r="128" spans="1:2" x14ac:dyDescent="0.25">
      <c r="A128">
        <v>81814</v>
      </c>
      <c r="B128" t="s">
        <v>150</v>
      </c>
    </row>
    <row r="129" spans="1:2" x14ac:dyDescent="0.25">
      <c r="A129">
        <v>81132</v>
      </c>
      <c r="B129" t="s">
        <v>151</v>
      </c>
    </row>
    <row r="130" spans="1:2" x14ac:dyDescent="0.25">
      <c r="A130">
        <v>23132</v>
      </c>
      <c r="B130" t="s">
        <v>152</v>
      </c>
    </row>
    <row r="131" spans="1:2" x14ac:dyDescent="0.25">
      <c r="A131">
        <v>77283</v>
      </c>
      <c r="B131" t="s">
        <v>27</v>
      </c>
    </row>
    <row r="132" spans="1:2" x14ac:dyDescent="0.25">
      <c r="A132">
        <v>80919</v>
      </c>
      <c r="B132" t="s">
        <v>153</v>
      </c>
    </row>
    <row r="133" spans="1:2" x14ac:dyDescent="0.25">
      <c r="A133">
        <v>78628</v>
      </c>
      <c r="B133" t="s">
        <v>154</v>
      </c>
    </row>
    <row r="134" spans="1:2" x14ac:dyDescent="0.25">
      <c r="A134">
        <v>80935</v>
      </c>
      <c r="B134" t="s">
        <v>155</v>
      </c>
    </row>
    <row r="135" spans="1:2" x14ac:dyDescent="0.25">
      <c r="A135">
        <v>81696</v>
      </c>
      <c r="B135" t="s">
        <v>156</v>
      </c>
    </row>
    <row r="136" spans="1:2" x14ac:dyDescent="0.25">
      <c r="A136">
        <v>81501</v>
      </c>
      <c r="B136" t="s">
        <v>157</v>
      </c>
    </row>
    <row r="137" spans="1:2" x14ac:dyDescent="0.25">
      <c r="A137">
        <v>81561</v>
      </c>
      <c r="B137" t="s">
        <v>158</v>
      </c>
    </row>
    <row r="138" spans="1:2" x14ac:dyDescent="0.25">
      <c r="A138">
        <v>78722</v>
      </c>
      <c r="B138" t="s">
        <v>28</v>
      </c>
    </row>
    <row r="139" spans="1:2" x14ac:dyDescent="0.25">
      <c r="A139">
        <v>81614</v>
      </c>
      <c r="B139" t="s">
        <v>159</v>
      </c>
    </row>
    <row r="140" spans="1:2" x14ac:dyDescent="0.25">
      <c r="A140">
        <v>76291</v>
      </c>
      <c r="B140" t="s">
        <v>29</v>
      </c>
    </row>
    <row r="141" spans="1:2" x14ac:dyDescent="0.25">
      <c r="A141">
        <v>81041</v>
      </c>
      <c r="B141" t="s">
        <v>160</v>
      </c>
    </row>
    <row r="142" spans="1:2" x14ac:dyDescent="0.25">
      <c r="A142">
        <v>80925</v>
      </c>
      <c r="B142" t="s">
        <v>161</v>
      </c>
    </row>
    <row r="143" spans="1:2" x14ac:dyDescent="0.25">
      <c r="A143">
        <v>80893</v>
      </c>
      <c r="B143" t="s">
        <v>162</v>
      </c>
    </row>
    <row r="144" spans="1:2" x14ac:dyDescent="0.25">
      <c r="A144">
        <v>80053</v>
      </c>
      <c r="B144" t="s">
        <v>30</v>
      </c>
    </row>
    <row r="145" spans="1:2" x14ac:dyDescent="0.25">
      <c r="A145">
        <v>82176</v>
      </c>
      <c r="B145" t="s">
        <v>163</v>
      </c>
    </row>
    <row r="146" spans="1:2" x14ac:dyDescent="0.25">
      <c r="A146">
        <v>81175</v>
      </c>
      <c r="B146" t="s">
        <v>164</v>
      </c>
    </row>
    <row r="147" spans="1:2" x14ac:dyDescent="0.25">
      <c r="A147">
        <v>81489</v>
      </c>
      <c r="B147" t="s">
        <v>165</v>
      </c>
    </row>
    <row r="148" spans="1:2" x14ac:dyDescent="0.25">
      <c r="A148">
        <v>82634</v>
      </c>
      <c r="B148" t="s">
        <v>166</v>
      </c>
    </row>
    <row r="149" spans="1:2" x14ac:dyDescent="0.25">
      <c r="A149">
        <v>81874</v>
      </c>
      <c r="B149" t="s">
        <v>167</v>
      </c>
    </row>
    <row r="150" spans="1:2" x14ac:dyDescent="0.25">
      <c r="A150">
        <v>79907</v>
      </c>
      <c r="B150" t="s">
        <v>168</v>
      </c>
    </row>
    <row r="151" spans="1:2" x14ac:dyDescent="0.25">
      <c r="A151">
        <v>81520</v>
      </c>
      <c r="B151" t="s">
        <v>169</v>
      </c>
    </row>
    <row r="152" spans="1:2" x14ac:dyDescent="0.25">
      <c r="A152">
        <v>81878</v>
      </c>
      <c r="B152" t="s">
        <v>170</v>
      </c>
    </row>
    <row r="153" spans="1:2" x14ac:dyDescent="0.25">
      <c r="A153">
        <v>82867</v>
      </c>
      <c r="B153" t="s">
        <v>171</v>
      </c>
    </row>
    <row r="154" spans="1:2" x14ac:dyDescent="0.25">
      <c r="A154">
        <v>78395</v>
      </c>
      <c r="B154" t="s">
        <v>31</v>
      </c>
    </row>
    <row r="155" spans="1:2" x14ac:dyDescent="0.25">
      <c r="A155">
        <v>79343</v>
      </c>
      <c r="B155" t="s">
        <v>172</v>
      </c>
    </row>
  </sheetData>
  <sheetProtection algorithmName="SHA-512" hashValue="OVwpS3VBrq89TGXH9uy2jIPLZYjU0m1iu86bRKY1OHxblFjtGTcTge8KuqWS1wzNrmpwU0T+LHrK1IizLjLvnQ==" saltValue="5eAkJM+3mJrsLJubMHUj+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Candidatura</vt:lpstr>
      <vt:lpstr>Extração</vt:lpstr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Leite Barbosa</dc:creator>
  <cp:lastModifiedBy>Luís Filipe Leite Barbosa</cp:lastModifiedBy>
  <dcterms:created xsi:type="dcterms:W3CDTF">2015-06-05T18:19:34Z</dcterms:created>
  <dcterms:modified xsi:type="dcterms:W3CDTF">2026-02-08T23:08:28Z</dcterms:modified>
</cp:coreProperties>
</file>